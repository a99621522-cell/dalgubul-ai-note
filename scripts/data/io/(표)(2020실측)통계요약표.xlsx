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5"/>
  <workbookPr/>
  <mc:AlternateContent xmlns:mc="http://schemas.openxmlformats.org/markup-compatibility/2006">
    <mc:Choice Requires="x15">
      <x15ac:absPath xmlns:x15ac="http://schemas.microsoft.com/office/spreadsheetml/2010/11/ac" url="S:\투입산출팀\000. 전국IO 추계\10. (2020)(실측)\50. 공표 및 보도자료, 최종 결과\30. 결과(투입산출표)\최종파일\"/>
    </mc:Choice>
  </mc:AlternateContent>
  <xr:revisionPtr revIDLastSave="0" documentId="13_ncr:1_{61FD7189-CBC2-4162-B8E0-749980F14C94}" xr6:coauthVersionLast="36" xr6:coauthVersionMax="36" xr10:uidLastSave="{00000000-0000-0000-0000-000000000000}"/>
  <bookViews>
    <workbookView xWindow="0" yWindow="0" windowWidth="19200" windowHeight="9810" tabRatio="937" xr2:uid="{00000000-000D-0000-FFFF-FFFF00000000}"/>
  </bookViews>
  <sheets>
    <sheet name="목차" sheetId="2" r:id="rId1"/>
    <sheet name="1.산업별 총산출 및 구성" sheetId="8" r:id="rId2"/>
    <sheet name="2.산업별 부가가치 및 구성" sheetId="9" r:id="rId3"/>
    <sheet name="3.산업별 중간투입률" sheetId="10" r:id="rId4"/>
    <sheet name="4.산업별 국산화율" sheetId="11" r:id="rId5"/>
    <sheet name="5.산업별 수입투입률" sheetId="12" r:id="rId6"/>
    <sheet name="6.산업별 부가가치율" sheetId="13" r:id="rId7"/>
    <sheet name="7.민간소비지출의 구성" sheetId="29" r:id="rId8"/>
    <sheet name="8.고정자본형성의 구성" sheetId="30" r:id="rId9"/>
    <sheet name="9.품목별 수출률 및 구성" sheetId="14" r:id="rId10"/>
    <sheet name="10.품목별 수입률 및 구성" sheetId="15" r:id="rId11"/>
    <sheet name="11.품목별 생산유발계수" sheetId="16" r:id="rId12"/>
    <sheet name="12.품목별 부가가치유발계수" sheetId="17" r:id="rId13"/>
    <sheet name="13.품목별 수입유발계수" sheetId="18" r:id="rId14"/>
    <sheet name="14.영향력계수 및 감응도계수 추이" sheetId="19" r:id="rId15"/>
    <sheet name="15.최종수요항목별 생산유발계수 및 생산유발구성비" sheetId="25" r:id="rId16"/>
    <sheet name="15(상세)최종수요항목별 생산유발계수 및 생산유발구성비" sheetId="22" r:id="rId17"/>
    <sheet name="16.최종수요항목별 VA유발계수 및 VA유발구성비" sheetId="26" r:id="rId18"/>
    <sheet name="16(상세)최종수요항목별 VA유발계수 및 VA유발구성비" sheetId="23" r:id="rId19"/>
    <sheet name="17.최종수요항목별 수입유발계수 및 수입유발구성비" sheetId="27" r:id="rId20"/>
    <sheet name="17(상세)최종수요항목별 수입유발계수 및 수입유발구성비" sheetId="24" r:id="rId21"/>
    <sheet name="18. (프린트용)최종수요 항목별 분석" sheetId="28" r:id="rId22"/>
  </sheets>
  <definedNames>
    <definedName name="_xlnm.Print_Area" localSheetId="1">'1.산업별 총산출 및 구성'!$B$2:$P$54</definedName>
    <definedName name="_xlnm.Print_Area" localSheetId="10">'10.품목별 수입률 및 구성'!$B$2:$P$55</definedName>
    <definedName name="_xlnm.Print_Area" localSheetId="11">'11.품목별 생산유발계수'!$B$2:$M$55</definedName>
    <definedName name="_xlnm.Print_Area" localSheetId="12">'12.품목별 부가가치유발계수'!$B$2:$M$57</definedName>
    <definedName name="_xlnm.Print_Area" localSheetId="13">'13.품목별 수입유발계수'!$B$2:$M$57</definedName>
    <definedName name="_xlnm.Print_Area" localSheetId="14">'14.영향력계수 및 감응도계수 추이'!$B$2:$L$58</definedName>
    <definedName name="_xlnm.Print_Area" localSheetId="16">'15(상세)최종수요항목별 생산유발계수 및 생산유발구성비'!$B$2:$P$22</definedName>
    <definedName name="_xlnm.Print_Area" localSheetId="15">'15.최종수요항목별 생산유발계수 및 생산유발구성비'!$B$2:$P$17</definedName>
    <definedName name="_xlnm.Print_Area" localSheetId="18">'16(상세)최종수요항목별 VA유발계수 및 VA유발구성비'!$B$2:$P$22</definedName>
    <definedName name="_xlnm.Print_Area" localSheetId="17">'16.최종수요항목별 VA유발계수 및 VA유발구성비'!$B$2:$P$17</definedName>
    <definedName name="_xlnm.Print_Area" localSheetId="20">'17(상세)최종수요항목별 수입유발계수 및 수입유발구성비'!$B$2:$P$22</definedName>
    <definedName name="_xlnm.Print_Area" localSheetId="19">'17.최종수요항목별 수입유발계수 및 수입유발구성비'!$B$2:$P$17</definedName>
    <definedName name="_xlnm.Print_Area" localSheetId="21">'18. (프린트용)최종수요 항목별 분석'!$B$2:$P$53</definedName>
    <definedName name="_xlnm.Print_Area" localSheetId="2">'2.산업별 부가가치 및 구성'!$B$2:$P$54</definedName>
    <definedName name="_xlnm.Print_Area" localSheetId="3">'3.산업별 중간투입률'!$B$2:$M$53</definedName>
    <definedName name="_xlnm.Print_Area" localSheetId="4">'4.산업별 국산화율'!$B$2:$M$53</definedName>
    <definedName name="_xlnm.Print_Area" localSheetId="5">'5.산업별 수입투입률'!$B$2:$M$53</definedName>
    <definedName name="_xlnm.Print_Area" localSheetId="6">'6.산업별 부가가치율'!$B$2:$M$53</definedName>
    <definedName name="_xlnm.Print_Area" localSheetId="7">'7.민간소비지출의 구성'!$B$2:$P$47</definedName>
    <definedName name="_xlnm.Print_Area" localSheetId="8">'8.고정자본형성의 구성'!$B$2:$P$27</definedName>
    <definedName name="_xlnm.Print_Area" localSheetId="9">'9.품목별 수출률 및 구성'!$B$2:$P$55</definedName>
    <definedName name="_xlnm.Print_Area" localSheetId="0">목차!$B$2:$P$35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40" i="14" l="1"/>
  <c r="P23" i="14" l="1"/>
  <c r="P32" i="9" l="1"/>
  <c r="P22" i="30" l="1"/>
  <c r="P21" i="30"/>
  <c r="P20" i="30"/>
  <c r="P19" i="30"/>
  <c r="P18" i="30"/>
  <c r="P17" i="30"/>
  <c r="P16" i="30"/>
  <c r="P15" i="30"/>
  <c r="P14" i="30"/>
  <c r="P13" i="30"/>
  <c r="P12" i="30"/>
  <c r="P11" i="30"/>
  <c r="P10" i="30"/>
  <c r="P9" i="30"/>
  <c r="P8" i="30"/>
  <c r="O22" i="30"/>
  <c r="O21" i="30"/>
  <c r="O20" i="30"/>
  <c r="O19" i="30"/>
  <c r="O18" i="30"/>
  <c r="O17" i="30"/>
  <c r="O16" i="30"/>
  <c r="O15" i="30"/>
  <c r="O14" i="30"/>
  <c r="O13" i="30"/>
  <c r="O12" i="30"/>
  <c r="O11" i="30"/>
  <c r="O10" i="30"/>
  <c r="O9" i="30"/>
  <c r="O8" i="30"/>
  <c r="P45" i="29"/>
  <c r="P44" i="29"/>
  <c r="P43" i="29"/>
  <c r="P42" i="29"/>
  <c r="P41" i="29"/>
  <c r="P40" i="29"/>
  <c r="P39" i="29"/>
  <c r="P38" i="29"/>
  <c r="P37" i="29"/>
  <c r="P36" i="29"/>
  <c r="P35" i="29"/>
  <c r="P34" i="29"/>
  <c r="P33" i="29"/>
  <c r="P32" i="29"/>
  <c r="P31" i="29"/>
  <c r="P30" i="29"/>
  <c r="P29" i="29"/>
  <c r="P28" i="29"/>
  <c r="P27" i="29"/>
  <c r="P26" i="29"/>
  <c r="P25" i="29"/>
  <c r="P24" i="29"/>
  <c r="P23" i="29"/>
  <c r="P22" i="29"/>
  <c r="P21" i="29"/>
  <c r="P20" i="29"/>
  <c r="P19" i="29"/>
  <c r="P18" i="29"/>
  <c r="P17" i="29"/>
  <c r="P16" i="29"/>
  <c r="P15" i="29"/>
  <c r="P14" i="29"/>
  <c r="P13" i="29"/>
  <c r="P12" i="29"/>
  <c r="P11" i="29"/>
  <c r="P10" i="29"/>
  <c r="P9" i="29"/>
  <c r="P8" i="29"/>
  <c r="O45" i="29"/>
  <c r="O44" i="29"/>
  <c r="O43" i="29"/>
  <c r="O42" i="29"/>
  <c r="O41" i="29"/>
  <c r="O40" i="29"/>
  <c r="O39" i="29"/>
  <c r="O38" i="29"/>
  <c r="O37" i="29"/>
  <c r="O36" i="29"/>
  <c r="O35" i="29"/>
  <c r="O34" i="29"/>
  <c r="O33" i="29"/>
  <c r="O32" i="29"/>
  <c r="O31" i="29"/>
  <c r="O30" i="29"/>
  <c r="O29" i="29"/>
  <c r="O28" i="29"/>
  <c r="O27" i="29"/>
  <c r="O26" i="29"/>
  <c r="O25" i="29"/>
  <c r="O24" i="29"/>
  <c r="O23" i="29"/>
  <c r="O22" i="29"/>
  <c r="O21" i="29"/>
  <c r="O20" i="29"/>
  <c r="O19" i="29"/>
  <c r="O18" i="29"/>
  <c r="O17" i="29"/>
  <c r="O16" i="29"/>
  <c r="O15" i="29"/>
  <c r="O14" i="29"/>
  <c r="O13" i="29"/>
  <c r="O12" i="29"/>
  <c r="O11" i="29"/>
  <c r="O10" i="29"/>
  <c r="O9" i="29"/>
  <c r="O8" i="29"/>
  <c r="M50" i="18" l="1"/>
  <c r="M49" i="18"/>
  <c r="M48" i="18"/>
  <c r="M47" i="18"/>
  <c r="M46" i="18"/>
  <c r="M45" i="18"/>
  <c r="M44" i="18"/>
  <c r="M43" i="18"/>
  <c r="M42" i="18"/>
  <c r="M41" i="18"/>
  <c r="M40" i="18"/>
  <c r="M39" i="18"/>
  <c r="M38" i="18"/>
  <c r="M37" i="18"/>
  <c r="M36" i="18"/>
  <c r="M35" i="18"/>
  <c r="M34" i="18"/>
  <c r="M33" i="18"/>
  <c r="M32" i="18"/>
  <c r="M31" i="18"/>
  <c r="M30" i="18"/>
  <c r="M29" i="18"/>
  <c r="M28" i="18"/>
  <c r="M27" i="18"/>
  <c r="M26" i="18"/>
  <c r="M25" i="18"/>
  <c r="M24" i="18"/>
  <c r="M23" i="18"/>
  <c r="M22" i="18"/>
  <c r="M21" i="18"/>
  <c r="M20" i="18"/>
  <c r="M19" i="18"/>
  <c r="M18" i="18"/>
  <c r="M17" i="18"/>
  <c r="M16" i="18"/>
  <c r="M15" i="18"/>
  <c r="M14" i="18"/>
  <c r="M13" i="18"/>
  <c r="M12" i="18"/>
  <c r="M11" i="18"/>
  <c r="M10" i="18"/>
  <c r="M9" i="18"/>
  <c r="M8" i="18"/>
  <c r="M7" i="18"/>
  <c r="M50" i="17"/>
  <c r="M49" i="17"/>
  <c r="M48" i="17"/>
  <c r="M47" i="17"/>
  <c r="M46" i="17"/>
  <c r="M45" i="17"/>
  <c r="M44" i="17"/>
  <c r="M43" i="17"/>
  <c r="M42" i="17"/>
  <c r="M41" i="17"/>
  <c r="M40" i="17"/>
  <c r="M39" i="17"/>
  <c r="M38" i="17"/>
  <c r="M37" i="17"/>
  <c r="M36" i="17"/>
  <c r="M35" i="17"/>
  <c r="M34" i="17"/>
  <c r="M33" i="17"/>
  <c r="M32" i="17"/>
  <c r="M31" i="17"/>
  <c r="M30" i="17"/>
  <c r="M29" i="17"/>
  <c r="M28" i="17"/>
  <c r="M27" i="17"/>
  <c r="M26" i="17"/>
  <c r="M25" i="17"/>
  <c r="M24" i="17"/>
  <c r="M23" i="17"/>
  <c r="M22" i="17"/>
  <c r="M21" i="17"/>
  <c r="M20" i="17"/>
  <c r="M19" i="17"/>
  <c r="M18" i="17"/>
  <c r="M17" i="17"/>
  <c r="M16" i="17"/>
  <c r="M15" i="17"/>
  <c r="M14" i="17"/>
  <c r="M13" i="17"/>
  <c r="M12" i="17"/>
  <c r="M11" i="17"/>
  <c r="M10" i="17"/>
  <c r="M9" i="17"/>
  <c r="M8" i="17"/>
  <c r="M7" i="17"/>
  <c r="M50" i="16"/>
  <c r="M49" i="16"/>
  <c r="M48" i="16"/>
  <c r="M47" i="16"/>
  <c r="M46" i="16"/>
  <c r="M45" i="16"/>
  <c r="M44" i="16"/>
  <c r="M43" i="16"/>
  <c r="M42" i="16"/>
  <c r="M41" i="16"/>
  <c r="M40" i="16"/>
  <c r="M39" i="16"/>
  <c r="M38" i="16"/>
  <c r="M37" i="16"/>
  <c r="M36" i="16"/>
  <c r="M35" i="16"/>
  <c r="M34" i="16"/>
  <c r="M33" i="16"/>
  <c r="M32" i="16"/>
  <c r="M31" i="16"/>
  <c r="M30" i="16"/>
  <c r="M29" i="16"/>
  <c r="M28" i="16"/>
  <c r="M27" i="16"/>
  <c r="M26" i="16"/>
  <c r="M25" i="16"/>
  <c r="M24" i="16"/>
  <c r="M23" i="16"/>
  <c r="M22" i="16"/>
  <c r="M21" i="16"/>
  <c r="M20" i="16"/>
  <c r="M19" i="16"/>
  <c r="M18" i="16"/>
  <c r="M17" i="16"/>
  <c r="M16" i="16"/>
  <c r="M15" i="16"/>
  <c r="M14" i="16"/>
  <c r="M13" i="16"/>
  <c r="M12" i="16"/>
  <c r="M11" i="16"/>
  <c r="M10" i="16"/>
  <c r="M9" i="16"/>
  <c r="M8" i="16"/>
  <c r="M7" i="16"/>
  <c r="P51" i="15"/>
  <c r="P50" i="15"/>
  <c r="P49" i="15"/>
  <c r="P48" i="15"/>
  <c r="P47" i="15"/>
  <c r="P46" i="15"/>
  <c r="P45" i="15"/>
  <c r="P44" i="15"/>
  <c r="P43" i="15"/>
  <c r="P42" i="15"/>
  <c r="P41" i="15"/>
  <c r="P40" i="15"/>
  <c r="P39" i="15"/>
  <c r="P38" i="15"/>
  <c r="P37" i="15"/>
  <c r="P36" i="15"/>
  <c r="P35" i="15"/>
  <c r="P34" i="15"/>
  <c r="P33" i="15"/>
  <c r="P32" i="15"/>
  <c r="P31" i="15"/>
  <c r="P30" i="15"/>
  <c r="P29" i="15"/>
  <c r="P28" i="15"/>
  <c r="P27" i="15"/>
  <c r="P26" i="15"/>
  <c r="P25" i="15"/>
  <c r="P24" i="15"/>
  <c r="P23" i="15"/>
  <c r="P22" i="15"/>
  <c r="P21" i="15"/>
  <c r="P20" i="15"/>
  <c r="P19" i="15"/>
  <c r="P18" i="15"/>
  <c r="P17" i="15"/>
  <c r="P16" i="15"/>
  <c r="P15" i="15"/>
  <c r="P14" i="15"/>
  <c r="P13" i="15"/>
  <c r="P12" i="15"/>
  <c r="P11" i="15"/>
  <c r="P10" i="15"/>
  <c r="P9" i="15"/>
  <c r="P8" i="15"/>
  <c r="O51" i="15"/>
  <c r="O50" i="15"/>
  <c r="O49" i="15"/>
  <c r="O48" i="15"/>
  <c r="O47" i="15"/>
  <c r="O46" i="15"/>
  <c r="O45" i="15"/>
  <c r="O44" i="15"/>
  <c r="O43" i="15"/>
  <c r="O42" i="15"/>
  <c r="O41" i="15"/>
  <c r="O40" i="15"/>
  <c r="O39" i="15"/>
  <c r="O38" i="15"/>
  <c r="O37" i="15"/>
  <c r="O36" i="15"/>
  <c r="O35" i="15"/>
  <c r="O34" i="15"/>
  <c r="O33" i="15"/>
  <c r="O32" i="15"/>
  <c r="O31" i="15"/>
  <c r="O30" i="15"/>
  <c r="O29" i="15"/>
  <c r="O28" i="15"/>
  <c r="O27" i="15"/>
  <c r="O26" i="15"/>
  <c r="O25" i="15"/>
  <c r="O24" i="15"/>
  <c r="O23" i="15"/>
  <c r="O22" i="15"/>
  <c r="O21" i="15"/>
  <c r="O20" i="15"/>
  <c r="O19" i="15"/>
  <c r="O18" i="15"/>
  <c r="O17" i="15"/>
  <c r="O16" i="15"/>
  <c r="O15" i="15"/>
  <c r="O14" i="15"/>
  <c r="O13" i="15"/>
  <c r="O12" i="15"/>
  <c r="O11" i="15"/>
  <c r="O10" i="15"/>
  <c r="O9" i="15"/>
  <c r="O8" i="15"/>
  <c r="P51" i="14"/>
  <c r="P50" i="14"/>
  <c r="P49" i="14"/>
  <c r="P48" i="14"/>
  <c r="P47" i="14"/>
  <c r="P46" i="14"/>
  <c r="P45" i="14"/>
  <c r="P44" i="14"/>
  <c r="P43" i="14"/>
  <c r="P42" i="14"/>
  <c r="P41" i="14"/>
  <c r="P39" i="14"/>
  <c r="P38" i="14"/>
  <c r="P37" i="14"/>
  <c r="P36" i="14"/>
  <c r="P35" i="14"/>
  <c r="P34" i="14"/>
  <c r="P33" i="14"/>
  <c r="P32" i="14"/>
  <c r="P31" i="14"/>
  <c r="P30" i="14"/>
  <c r="P29" i="14"/>
  <c r="P28" i="14"/>
  <c r="P27" i="14"/>
  <c r="P26" i="14"/>
  <c r="P25" i="14"/>
  <c r="P24" i="14"/>
  <c r="P22" i="14"/>
  <c r="P21" i="14"/>
  <c r="P20" i="14"/>
  <c r="P19" i="14"/>
  <c r="P18" i="14"/>
  <c r="P17" i="14"/>
  <c r="P16" i="14"/>
  <c r="P15" i="14"/>
  <c r="P14" i="14"/>
  <c r="P13" i="14"/>
  <c r="P12" i="14"/>
  <c r="P11" i="14"/>
  <c r="P10" i="14"/>
  <c r="P9" i="14"/>
  <c r="P8" i="14"/>
  <c r="O51" i="14"/>
  <c r="O50" i="14"/>
  <c r="O49" i="14"/>
  <c r="O48" i="14"/>
  <c r="O47" i="14"/>
  <c r="O46" i="14"/>
  <c r="O45" i="14"/>
  <c r="O44" i="14"/>
  <c r="O43" i="14"/>
  <c r="O42" i="14"/>
  <c r="O41" i="14"/>
  <c r="O40" i="14"/>
  <c r="O39" i="14"/>
  <c r="O38" i="14"/>
  <c r="O37" i="14"/>
  <c r="O36" i="14"/>
  <c r="O35" i="14"/>
  <c r="O34" i="14"/>
  <c r="O33" i="14"/>
  <c r="O32" i="14"/>
  <c r="O31" i="14"/>
  <c r="O30" i="14"/>
  <c r="O29" i="14"/>
  <c r="O28" i="14"/>
  <c r="O27" i="14"/>
  <c r="O26" i="14"/>
  <c r="O25" i="14"/>
  <c r="O24" i="14"/>
  <c r="O23" i="14"/>
  <c r="O22" i="14"/>
  <c r="O21" i="14"/>
  <c r="O20" i="14"/>
  <c r="O19" i="14"/>
  <c r="O18" i="14"/>
  <c r="O17" i="14"/>
  <c r="O16" i="14"/>
  <c r="O15" i="14"/>
  <c r="O14" i="14"/>
  <c r="O13" i="14"/>
  <c r="O12" i="14"/>
  <c r="O11" i="14"/>
  <c r="O10" i="14"/>
  <c r="O9" i="14"/>
  <c r="O8" i="14"/>
  <c r="M50" i="13"/>
  <c r="M49" i="13"/>
  <c r="M48" i="13"/>
  <c r="M47" i="13"/>
  <c r="M46" i="13"/>
  <c r="M45" i="13"/>
  <c r="M44" i="13"/>
  <c r="M43" i="13"/>
  <c r="M42" i="13"/>
  <c r="M41" i="13"/>
  <c r="M40" i="13"/>
  <c r="M39" i="13"/>
  <c r="M38" i="13"/>
  <c r="M37" i="13"/>
  <c r="M36" i="13"/>
  <c r="M35" i="13"/>
  <c r="M34" i="13"/>
  <c r="M33" i="13"/>
  <c r="M32" i="13"/>
  <c r="M31" i="13"/>
  <c r="M30" i="13"/>
  <c r="M29" i="13"/>
  <c r="M28" i="13"/>
  <c r="M27" i="13"/>
  <c r="M26" i="13"/>
  <c r="M25" i="13"/>
  <c r="M24" i="13"/>
  <c r="M23" i="13"/>
  <c r="M22" i="13"/>
  <c r="M21" i="13"/>
  <c r="M20" i="13"/>
  <c r="M19" i="13"/>
  <c r="M18" i="13"/>
  <c r="M17" i="13"/>
  <c r="M16" i="13"/>
  <c r="M15" i="13"/>
  <c r="M14" i="13"/>
  <c r="M13" i="13"/>
  <c r="M12" i="13"/>
  <c r="M11" i="13"/>
  <c r="M10" i="13"/>
  <c r="M9" i="13"/>
  <c r="M8" i="13"/>
  <c r="M7" i="13"/>
  <c r="M50" i="12"/>
  <c r="M49" i="12"/>
  <c r="M48" i="12"/>
  <c r="M47" i="12"/>
  <c r="M46" i="12"/>
  <c r="M45" i="12"/>
  <c r="M44" i="12"/>
  <c r="M43" i="12"/>
  <c r="M42" i="12"/>
  <c r="M41" i="12"/>
  <c r="M40" i="12"/>
  <c r="M39" i="12"/>
  <c r="M38" i="12"/>
  <c r="M37" i="12"/>
  <c r="M36" i="12"/>
  <c r="M35" i="12"/>
  <c r="M34" i="12"/>
  <c r="M33" i="12"/>
  <c r="M32" i="12"/>
  <c r="M31" i="12"/>
  <c r="M30" i="12"/>
  <c r="M29" i="12"/>
  <c r="M28" i="12"/>
  <c r="M27" i="12"/>
  <c r="M26" i="12"/>
  <c r="M25" i="12"/>
  <c r="M24" i="12"/>
  <c r="M23" i="12"/>
  <c r="M22" i="12"/>
  <c r="M21" i="12"/>
  <c r="M20" i="12"/>
  <c r="M19" i="12"/>
  <c r="M18" i="12"/>
  <c r="M17" i="12"/>
  <c r="M16" i="12"/>
  <c r="M15" i="12"/>
  <c r="M14" i="12"/>
  <c r="M13" i="12"/>
  <c r="M12" i="12"/>
  <c r="M11" i="12"/>
  <c r="M10" i="12"/>
  <c r="M9" i="12"/>
  <c r="M8" i="12"/>
  <c r="M7" i="12"/>
  <c r="M50" i="11"/>
  <c r="M49" i="11"/>
  <c r="M48" i="11"/>
  <c r="M47" i="11"/>
  <c r="M46" i="11"/>
  <c r="M45" i="11"/>
  <c r="M44" i="11"/>
  <c r="M43" i="11"/>
  <c r="M42" i="11"/>
  <c r="M41" i="11"/>
  <c r="M40" i="11"/>
  <c r="M39" i="11"/>
  <c r="M38" i="11"/>
  <c r="M37" i="11"/>
  <c r="M36" i="11"/>
  <c r="M35" i="11"/>
  <c r="M34" i="11"/>
  <c r="M33" i="11"/>
  <c r="M32" i="11"/>
  <c r="M31" i="11"/>
  <c r="M30" i="11"/>
  <c r="M29" i="11"/>
  <c r="M28" i="11"/>
  <c r="M27" i="11"/>
  <c r="M26" i="11"/>
  <c r="M25" i="11"/>
  <c r="M24" i="11"/>
  <c r="M23" i="11"/>
  <c r="M22" i="11"/>
  <c r="M21" i="11"/>
  <c r="M20" i="11"/>
  <c r="M19" i="11"/>
  <c r="M18" i="11"/>
  <c r="M17" i="11"/>
  <c r="M16" i="11"/>
  <c r="M15" i="11"/>
  <c r="M14" i="11"/>
  <c r="M13" i="11"/>
  <c r="M12" i="11"/>
  <c r="M11" i="11"/>
  <c r="M10" i="11"/>
  <c r="M9" i="11"/>
  <c r="M8" i="11"/>
  <c r="M7" i="11"/>
  <c r="M50" i="10"/>
  <c r="M49" i="10"/>
  <c r="M48" i="10"/>
  <c r="M47" i="10"/>
  <c r="M46" i="10"/>
  <c r="M45" i="10"/>
  <c r="M44" i="10"/>
  <c r="M43" i="10"/>
  <c r="M42" i="10"/>
  <c r="M41" i="10"/>
  <c r="M40" i="10"/>
  <c r="M39" i="10"/>
  <c r="M38" i="10"/>
  <c r="M37" i="10"/>
  <c r="M36" i="10"/>
  <c r="M35" i="10"/>
  <c r="M34" i="10"/>
  <c r="M33" i="10"/>
  <c r="M32" i="10"/>
  <c r="M31" i="10"/>
  <c r="M30" i="10"/>
  <c r="M29" i="10"/>
  <c r="M28" i="10"/>
  <c r="M27" i="10"/>
  <c r="M26" i="10"/>
  <c r="M25" i="10"/>
  <c r="M24" i="10"/>
  <c r="M23" i="10"/>
  <c r="M22" i="10"/>
  <c r="M21" i="10"/>
  <c r="M20" i="10"/>
  <c r="M19" i="10"/>
  <c r="M18" i="10"/>
  <c r="M17" i="10"/>
  <c r="M16" i="10"/>
  <c r="M15" i="10"/>
  <c r="M14" i="10"/>
  <c r="M13" i="10"/>
  <c r="M12" i="10"/>
  <c r="M11" i="10"/>
  <c r="M10" i="10"/>
  <c r="M9" i="10"/>
  <c r="M8" i="10"/>
  <c r="M7" i="10"/>
  <c r="P51" i="9"/>
  <c r="P50" i="9"/>
  <c r="P49" i="9"/>
  <c r="P48" i="9"/>
  <c r="P47" i="9"/>
  <c r="P46" i="9"/>
  <c r="P45" i="9"/>
  <c r="P44" i="9"/>
  <c r="P43" i="9"/>
  <c r="P42" i="9"/>
  <c r="P41" i="9"/>
  <c r="P40" i="9"/>
  <c r="P39" i="9"/>
  <c r="P38" i="9"/>
  <c r="P37" i="9"/>
  <c r="P36" i="9"/>
  <c r="P35" i="9"/>
  <c r="P34" i="9"/>
  <c r="P33" i="9"/>
  <c r="P31" i="9"/>
  <c r="P30" i="9"/>
  <c r="P29" i="9"/>
  <c r="P28" i="9"/>
  <c r="P27" i="9"/>
  <c r="P26" i="9"/>
  <c r="P25" i="9"/>
  <c r="P24" i="9"/>
  <c r="P23" i="9"/>
  <c r="P22" i="9"/>
  <c r="P21" i="9"/>
  <c r="P20" i="9"/>
  <c r="P19" i="9"/>
  <c r="P18" i="9"/>
  <c r="P17" i="9"/>
  <c r="P16" i="9"/>
  <c r="P15" i="9"/>
  <c r="P14" i="9"/>
  <c r="P13" i="9"/>
  <c r="P12" i="9"/>
  <c r="P11" i="9"/>
  <c r="P10" i="9"/>
  <c r="P9" i="9"/>
  <c r="P8" i="9"/>
  <c r="P51" i="8"/>
  <c r="P50" i="8"/>
  <c r="P49" i="8"/>
  <c r="P48" i="8"/>
  <c r="P47" i="8"/>
  <c r="P46" i="8"/>
  <c r="P45" i="8"/>
  <c r="P44" i="8"/>
  <c r="P43" i="8"/>
  <c r="P42" i="8"/>
  <c r="P41" i="8"/>
  <c r="P40" i="8"/>
  <c r="P39" i="8"/>
  <c r="P38" i="8"/>
  <c r="P37" i="8"/>
  <c r="P36" i="8"/>
  <c r="P35" i="8"/>
  <c r="P34" i="8"/>
  <c r="P33" i="8"/>
  <c r="P32" i="8"/>
  <c r="P31" i="8"/>
  <c r="P30" i="8"/>
  <c r="P29" i="8"/>
  <c r="P28" i="8"/>
  <c r="P27" i="8"/>
  <c r="P26" i="8"/>
  <c r="P25" i="8"/>
  <c r="P24" i="8"/>
  <c r="P23" i="8"/>
  <c r="P22" i="8"/>
  <c r="P21" i="8"/>
  <c r="P20" i="8"/>
  <c r="P19" i="8"/>
  <c r="P18" i="8"/>
  <c r="P17" i="8"/>
  <c r="P16" i="8"/>
  <c r="P15" i="8"/>
  <c r="P14" i="8"/>
  <c r="P13" i="8"/>
  <c r="P12" i="8"/>
  <c r="P11" i="8"/>
  <c r="P10" i="8"/>
  <c r="P9" i="8"/>
  <c r="P8" i="8"/>
  <c r="L50" i="18" l="1"/>
  <c r="L49" i="18"/>
  <c r="L48" i="18"/>
  <c r="L47" i="18"/>
  <c r="L46" i="18"/>
  <c r="L45" i="18"/>
  <c r="L44" i="18"/>
  <c r="L43" i="18"/>
  <c r="L42" i="18"/>
  <c r="L41" i="18"/>
  <c r="L40" i="18"/>
  <c r="L39" i="18"/>
  <c r="L38" i="18"/>
  <c r="L37" i="18"/>
  <c r="L36" i="18"/>
  <c r="L35" i="18"/>
  <c r="L34" i="18"/>
  <c r="L33" i="18"/>
  <c r="L32" i="18"/>
  <c r="L31" i="18"/>
  <c r="L30" i="18"/>
  <c r="L29" i="18"/>
  <c r="L28" i="18"/>
  <c r="L27" i="18"/>
  <c r="L26" i="18"/>
  <c r="L25" i="18"/>
  <c r="L24" i="18"/>
  <c r="L23" i="18"/>
  <c r="L22" i="18"/>
  <c r="L21" i="18"/>
  <c r="L20" i="18"/>
  <c r="L19" i="18"/>
  <c r="L18" i="18"/>
  <c r="L17" i="18"/>
  <c r="L16" i="18"/>
  <c r="L15" i="18"/>
  <c r="L14" i="18"/>
  <c r="L13" i="18"/>
  <c r="L12" i="18"/>
  <c r="L11" i="18"/>
  <c r="L10" i="18"/>
  <c r="L9" i="18"/>
  <c r="L8" i="18"/>
  <c r="L7" i="18"/>
  <c r="L50" i="17"/>
  <c r="L49" i="17"/>
  <c r="L48" i="17"/>
  <c r="L47" i="17"/>
  <c r="L46" i="17"/>
  <c r="L45" i="17"/>
  <c r="L44" i="17"/>
  <c r="L43" i="17"/>
  <c r="L42" i="17"/>
  <c r="L41" i="17"/>
  <c r="L40" i="17"/>
  <c r="L39" i="17"/>
  <c r="L38" i="17"/>
  <c r="L37" i="17"/>
  <c r="L36" i="17"/>
  <c r="L35" i="17"/>
  <c r="L34" i="17"/>
  <c r="L33" i="17"/>
  <c r="L32" i="17"/>
  <c r="L31" i="17"/>
  <c r="L30" i="17"/>
  <c r="L29" i="17"/>
  <c r="L28" i="17"/>
  <c r="L27" i="17"/>
  <c r="L26" i="17"/>
  <c r="L25" i="17"/>
  <c r="L24" i="17"/>
  <c r="L23" i="17"/>
  <c r="L22" i="17"/>
  <c r="L21" i="17"/>
  <c r="L20" i="17"/>
  <c r="L19" i="17"/>
  <c r="L18" i="17"/>
  <c r="L17" i="17"/>
  <c r="L16" i="17"/>
  <c r="L15" i="17"/>
  <c r="L14" i="17"/>
  <c r="L13" i="17"/>
  <c r="L12" i="17"/>
  <c r="L11" i="17"/>
  <c r="L10" i="17"/>
  <c r="L9" i="17"/>
  <c r="L8" i="17"/>
  <c r="L7" i="17"/>
  <c r="L50" i="16"/>
  <c r="L49" i="16"/>
  <c r="L48" i="16"/>
  <c r="L47" i="16"/>
  <c r="L46" i="16"/>
  <c r="L45" i="16"/>
  <c r="L44" i="16"/>
  <c r="L43" i="16"/>
  <c r="L42" i="16"/>
  <c r="L41" i="16"/>
  <c r="L40" i="16"/>
  <c r="L39" i="16"/>
  <c r="L38" i="16"/>
  <c r="L37" i="16"/>
  <c r="L36" i="16"/>
  <c r="L35" i="16"/>
  <c r="L34" i="16"/>
  <c r="L33" i="16"/>
  <c r="L32" i="16"/>
  <c r="L31" i="16"/>
  <c r="L30" i="16"/>
  <c r="L29" i="16"/>
  <c r="L28" i="16"/>
  <c r="L27" i="16"/>
  <c r="L26" i="16"/>
  <c r="L25" i="16"/>
  <c r="L24" i="16"/>
  <c r="L23" i="16"/>
  <c r="L22" i="16"/>
  <c r="L21" i="16"/>
  <c r="L20" i="16"/>
  <c r="L19" i="16"/>
  <c r="L18" i="16"/>
  <c r="L17" i="16"/>
  <c r="L16" i="16"/>
  <c r="L15" i="16"/>
  <c r="L14" i="16"/>
  <c r="L13" i="16"/>
  <c r="L12" i="16"/>
  <c r="L11" i="16"/>
  <c r="L10" i="16"/>
  <c r="L9" i="16"/>
  <c r="L8" i="16"/>
  <c r="L7" i="16"/>
  <c r="L50" i="13"/>
  <c r="L49" i="13"/>
  <c r="L48" i="13"/>
  <c r="L47" i="13"/>
  <c r="L46" i="13"/>
  <c r="L45" i="13"/>
  <c r="L44" i="13"/>
  <c r="L43" i="13"/>
  <c r="L42" i="13"/>
  <c r="L41" i="13"/>
  <c r="L40" i="13"/>
  <c r="L39" i="13"/>
  <c r="L38" i="13"/>
  <c r="L37" i="13"/>
  <c r="L36" i="13"/>
  <c r="L35" i="13"/>
  <c r="L34" i="13"/>
  <c r="L33" i="13"/>
  <c r="L32" i="13"/>
  <c r="L31" i="13"/>
  <c r="L30" i="13"/>
  <c r="L29" i="13"/>
  <c r="L28" i="13"/>
  <c r="L27" i="13"/>
  <c r="L26" i="13"/>
  <c r="L25" i="13"/>
  <c r="L24" i="13"/>
  <c r="L23" i="13"/>
  <c r="L22" i="13"/>
  <c r="L21" i="13"/>
  <c r="L20" i="13"/>
  <c r="L19" i="13"/>
  <c r="L18" i="13"/>
  <c r="L17" i="13"/>
  <c r="L16" i="13"/>
  <c r="L15" i="13"/>
  <c r="L14" i="13"/>
  <c r="L13" i="13"/>
  <c r="L12" i="13"/>
  <c r="L11" i="13"/>
  <c r="L10" i="13"/>
  <c r="L9" i="13"/>
  <c r="L8" i="13"/>
  <c r="L7" i="13"/>
  <c r="L50" i="12"/>
  <c r="L49" i="12"/>
  <c r="L48" i="12"/>
  <c r="L47" i="12"/>
  <c r="L46" i="12"/>
  <c r="L45" i="12"/>
  <c r="L44" i="12"/>
  <c r="L43" i="12"/>
  <c r="L42" i="12"/>
  <c r="L41" i="12"/>
  <c r="L40" i="12"/>
  <c r="L39" i="12"/>
  <c r="L38" i="12"/>
  <c r="L37" i="12"/>
  <c r="L36" i="12"/>
  <c r="L35" i="12"/>
  <c r="L34" i="12"/>
  <c r="L33" i="12"/>
  <c r="L32" i="12"/>
  <c r="L31" i="12"/>
  <c r="L30" i="12"/>
  <c r="L29" i="12"/>
  <c r="L28" i="12"/>
  <c r="L27" i="12"/>
  <c r="L26" i="12"/>
  <c r="L25" i="12"/>
  <c r="L24" i="12"/>
  <c r="L23" i="12"/>
  <c r="L22" i="12"/>
  <c r="L21" i="12"/>
  <c r="L20" i="12"/>
  <c r="L19" i="12"/>
  <c r="L18" i="12"/>
  <c r="L17" i="12"/>
  <c r="L16" i="12"/>
  <c r="L15" i="12"/>
  <c r="L14" i="12"/>
  <c r="L13" i="12"/>
  <c r="L12" i="12"/>
  <c r="L11" i="12"/>
  <c r="L10" i="12"/>
  <c r="L9" i="12"/>
  <c r="L8" i="12"/>
  <c r="L7" i="12"/>
  <c r="L50" i="11"/>
  <c r="L49" i="11"/>
  <c r="L48" i="11"/>
  <c r="L47" i="11"/>
  <c r="L46" i="11"/>
  <c r="L45" i="11"/>
  <c r="L44" i="11"/>
  <c r="L43" i="11"/>
  <c r="L42" i="11"/>
  <c r="L41" i="11"/>
  <c r="L40" i="11"/>
  <c r="L39" i="11"/>
  <c r="L38" i="11"/>
  <c r="L37" i="11"/>
  <c r="L36" i="11"/>
  <c r="L35" i="11"/>
  <c r="L34" i="11"/>
  <c r="L33" i="11"/>
  <c r="L32" i="11"/>
  <c r="L31" i="11"/>
  <c r="L30" i="11"/>
  <c r="L29" i="11"/>
  <c r="L28" i="11"/>
  <c r="L27" i="11"/>
  <c r="L26" i="11"/>
  <c r="L25" i="11"/>
  <c r="L24" i="11"/>
  <c r="L23" i="11"/>
  <c r="L22" i="11"/>
  <c r="L21" i="11"/>
  <c r="L20" i="11"/>
  <c r="L19" i="11"/>
  <c r="L18" i="11"/>
  <c r="L17" i="11"/>
  <c r="L16" i="11"/>
  <c r="L15" i="11"/>
  <c r="L14" i="11"/>
  <c r="L13" i="11"/>
  <c r="L12" i="11"/>
  <c r="L11" i="11"/>
  <c r="L10" i="11"/>
  <c r="L9" i="11"/>
  <c r="L8" i="11"/>
  <c r="L7" i="11"/>
  <c r="L50" i="10"/>
  <c r="L49" i="10"/>
  <c r="L48" i="10"/>
  <c r="L47" i="10"/>
  <c r="L46" i="10"/>
  <c r="L45" i="10"/>
  <c r="L44" i="10"/>
  <c r="L43" i="10"/>
  <c r="L42" i="10"/>
  <c r="L41" i="10"/>
  <c r="L40" i="10"/>
  <c r="L39" i="10"/>
  <c r="L38" i="10"/>
  <c r="L37" i="10"/>
  <c r="L36" i="10"/>
  <c r="L35" i="10"/>
  <c r="L34" i="10"/>
  <c r="L33" i="10"/>
  <c r="L32" i="10"/>
  <c r="L31" i="10"/>
  <c r="L30" i="10"/>
  <c r="L29" i="10"/>
  <c r="L28" i="10"/>
  <c r="L27" i="10"/>
  <c r="L26" i="10"/>
  <c r="L25" i="10"/>
  <c r="L24" i="10"/>
  <c r="L23" i="10"/>
  <c r="L22" i="10"/>
  <c r="L21" i="10"/>
  <c r="L20" i="10"/>
  <c r="L19" i="10"/>
  <c r="L18" i="10"/>
  <c r="L17" i="10"/>
  <c r="L16" i="10"/>
  <c r="L15" i="10"/>
  <c r="L14" i="10"/>
  <c r="L13" i="10"/>
  <c r="L12" i="10"/>
  <c r="L11" i="10"/>
  <c r="L10" i="10"/>
  <c r="L9" i="10"/>
  <c r="L8" i="10"/>
  <c r="L7" i="10"/>
  <c r="O51" i="9"/>
  <c r="O50" i="9"/>
  <c r="O49" i="9"/>
  <c r="O48" i="9"/>
  <c r="O47" i="9"/>
  <c r="O46" i="9"/>
  <c r="O45" i="9"/>
  <c r="O44" i="9"/>
  <c r="O43" i="9"/>
  <c r="O42" i="9"/>
  <c r="O41" i="9"/>
  <c r="O40" i="9"/>
  <c r="O39" i="9"/>
  <c r="O38" i="9"/>
  <c r="O37" i="9"/>
  <c r="O36" i="9"/>
  <c r="O35" i="9"/>
  <c r="O34" i="9"/>
  <c r="O33" i="9"/>
  <c r="O32" i="9"/>
  <c r="O31" i="9"/>
  <c r="O30" i="9"/>
  <c r="O29" i="9"/>
  <c r="O28" i="9"/>
  <c r="O27" i="9"/>
  <c r="O26" i="9"/>
  <c r="O25" i="9"/>
  <c r="O24" i="9"/>
  <c r="O23" i="9"/>
  <c r="O22" i="9"/>
  <c r="O21" i="9"/>
  <c r="O20" i="9"/>
  <c r="O19" i="9"/>
  <c r="O18" i="9"/>
  <c r="O17" i="9"/>
  <c r="O16" i="9"/>
  <c r="O15" i="9"/>
  <c r="O14" i="9"/>
  <c r="O13" i="9"/>
  <c r="O12" i="9"/>
  <c r="O11" i="9"/>
  <c r="O10" i="9"/>
  <c r="O9" i="9"/>
  <c r="O8" i="9"/>
  <c r="O51" i="8"/>
  <c r="O50" i="8"/>
  <c r="O49" i="8"/>
  <c r="O48" i="8"/>
  <c r="O47" i="8"/>
  <c r="O46" i="8"/>
  <c r="O45" i="8"/>
  <c r="O44" i="8"/>
  <c r="O43" i="8"/>
  <c r="O42" i="8"/>
  <c r="O41" i="8"/>
  <c r="O40" i="8"/>
  <c r="O39" i="8"/>
  <c r="O38" i="8"/>
  <c r="O37" i="8"/>
  <c r="O36" i="8"/>
  <c r="O35" i="8"/>
  <c r="O34" i="8"/>
  <c r="O33" i="8"/>
  <c r="O32" i="8"/>
  <c r="O31" i="8"/>
  <c r="O30" i="8"/>
  <c r="O29" i="8"/>
  <c r="O28" i="8"/>
  <c r="O27" i="8"/>
  <c r="O26" i="8"/>
  <c r="O25" i="8"/>
  <c r="O24" i="8"/>
  <c r="O23" i="8"/>
  <c r="O22" i="8"/>
  <c r="O21" i="8"/>
  <c r="O20" i="8"/>
  <c r="O19" i="8"/>
  <c r="O18" i="8"/>
  <c r="O17" i="8"/>
  <c r="O16" i="8"/>
  <c r="O15" i="8"/>
  <c r="O14" i="8"/>
  <c r="O13" i="8"/>
  <c r="O12" i="8"/>
  <c r="O11" i="8"/>
  <c r="O10" i="8"/>
  <c r="O9" i="8"/>
  <c r="O8" i="8"/>
</calcChain>
</file>

<file path=xl/sharedStrings.xml><?xml version="1.0" encoding="utf-8"?>
<sst xmlns="http://schemas.openxmlformats.org/spreadsheetml/2006/main" count="1976" uniqueCount="342">
  <si>
    <t xml:space="preserve">  </t>
  </si>
  <si>
    <t>농림수산품</t>
  </si>
  <si>
    <t>광산품</t>
  </si>
  <si>
    <r>
      <t>공 산 품</t>
    </r>
    <r>
      <rPr>
        <b/>
        <vertAlign val="superscript"/>
        <sz val="9"/>
        <color rgb="FF000000"/>
        <rFont val="HCI Poppy"/>
        <family val="2"/>
      </rPr>
      <t>1)</t>
    </r>
  </si>
  <si>
    <r>
      <t>소 비 재</t>
    </r>
    <r>
      <rPr>
        <b/>
        <vertAlign val="superscript"/>
        <sz val="9"/>
        <color rgb="FF000000"/>
        <rFont val="HCI Poppy"/>
        <family val="2"/>
      </rPr>
      <t>1)</t>
    </r>
  </si>
  <si>
    <t xml:space="preserve">음식료품 </t>
  </si>
  <si>
    <t xml:space="preserve">섬유및가죽제품 </t>
  </si>
  <si>
    <r>
      <t>목재및종이</t>
    </r>
    <r>
      <rPr>
        <sz val="9"/>
        <color rgb="FF000000"/>
        <rFont val="HCI Poppy"/>
        <family val="2"/>
      </rPr>
      <t>·</t>
    </r>
    <r>
      <rPr>
        <sz val="9"/>
        <color rgb="FF000000"/>
        <rFont val="휴먼명조"/>
        <charset val="129"/>
      </rPr>
      <t xml:space="preserve">인쇄 </t>
    </r>
  </si>
  <si>
    <r>
      <t>기 초 소 재 제 품</t>
    </r>
    <r>
      <rPr>
        <b/>
        <vertAlign val="superscript"/>
        <sz val="9"/>
        <color rgb="FF000000"/>
        <rFont val="HCI Poppy"/>
        <family val="2"/>
      </rPr>
      <t>1)</t>
    </r>
    <r>
      <rPr>
        <b/>
        <sz val="9"/>
        <color rgb="FF000000"/>
        <rFont val="맑은 고딕"/>
        <family val="3"/>
        <charset val="129"/>
        <scheme val="minor"/>
      </rPr>
      <t xml:space="preserve"> </t>
    </r>
  </si>
  <si>
    <t xml:space="preserve">석탄및석유제품 </t>
  </si>
  <si>
    <t xml:space="preserve">화학제품 </t>
  </si>
  <si>
    <t xml:space="preserve">비금속광물제품 </t>
  </si>
  <si>
    <r>
      <t>1</t>
    </r>
    <r>
      <rPr>
        <sz val="9"/>
        <color rgb="FF000000"/>
        <rFont val="휴먼명조"/>
        <charset val="129"/>
      </rPr>
      <t xml:space="preserve">차금속제품 </t>
    </r>
  </si>
  <si>
    <r>
      <t>조 립 가 공 제 품</t>
    </r>
    <r>
      <rPr>
        <b/>
        <vertAlign val="superscript"/>
        <sz val="9"/>
        <color rgb="FF000000"/>
        <rFont val="HCI Poppy"/>
        <family val="2"/>
      </rPr>
      <t>1)</t>
    </r>
  </si>
  <si>
    <r>
      <t>전력․가스․수도 및 폐기물</t>
    </r>
    <r>
      <rPr>
        <b/>
        <vertAlign val="superscript"/>
        <sz val="9"/>
        <color rgb="FF000000"/>
        <rFont val="HCI Poppy"/>
        <family val="2"/>
      </rPr>
      <t>1)</t>
    </r>
    <r>
      <rPr>
        <b/>
        <sz val="9"/>
        <color rgb="FF000000"/>
        <rFont val="맑은 고딕"/>
        <family val="3"/>
        <charset val="129"/>
        <scheme val="minor"/>
      </rPr>
      <t xml:space="preserve"> </t>
    </r>
  </si>
  <si>
    <t xml:space="preserve">건설 </t>
  </si>
  <si>
    <r>
      <t>도 소 매 및 운 송</t>
    </r>
    <r>
      <rPr>
        <b/>
        <vertAlign val="superscript"/>
        <sz val="9"/>
        <color rgb="FF000000"/>
        <rFont val="HCI Poppy"/>
        <family val="2"/>
      </rPr>
      <t>1)</t>
    </r>
    <r>
      <rPr>
        <b/>
        <sz val="9"/>
        <color rgb="FF000000"/>
        <rFont val="맑은 고딕"/>
        <family val="3"/>
        <charset val="129"/>
        <scheme val="minor"/>
      </rPr>
      <t xml:space="preserve"> </t>
    </r>
  </si>
  <si>
    <t xml:space="preserve">운송서비스 </t>
  </si>
  <si>
    <r>
      <t>생 산 자 서 비 스</t>
    </r>
    <r>
      <rPr>
        <b/>
        <vertAlign val="superscript"/>
        <sz val="9"/>
        <color rgb="FF000000"/>
        <rFont val="HCI Poppy"/>
        <family val="2"/>
      </rPr>
      <t>1)</t>
    </r>
  </si>
  <si>
    <r>
      <t>사 회 서 비 스</t>
    </r>
    <r>
      <rPr>
        <b/>
        <vertAlign val="superscript"/>
        <sz val="9"/>
        <color rgb="FF000000"/>
        <rFont val="HCI Poppy"/>
        <family val="2"/>
      </rPr>
      <t>1)</t>
    </r>
  </si>
  <si>
    <t xml:space="preserve">교육서비스 </t>
  </si>
  <si>
    <t xml:space="preserve">보건및사회복지서비스 </t>
  </si>
  <si>
    <r>
      <t>소 비 자 서 비 스</t>
    </r>
    <r>
      <rPr>
        <b/>
        <vertAlign val="superscript"/>
        <sz val="9"/>
        <color rgb="FF000000"/>
        <rFont val="HCI Poppy"/>
        <family val="2"/>
      </rPr>
      <t>1)</t>
    </r>
  </si>
  <si>
    <t xml:space="preserve">음식점및숙박서비스 </t>
  </si>
  <si>
    <t>금속가공제품</t>
  </si>
  <si>
    <t>전기장비</t>
  </si>
  <si>
    <t>기계 및 장비</t>
  </si>
  <si>
    <t>운송장비</t>
  </si>
  <si>
    <t>도소매 및 상품중개서비스</t>
  </si>
  <si>
    <t>정보통신 및 방송 서비스</t>
  </si>
  <si>
    <t>금융 및 보험 서비스</t>
  </si>
  <si>
    <t>부동산서비스</t>
  </si>
  <si>
    <t>전문, 과학 및 기술 서비스</t>
  </si>
  <si>
    <t>사업지원서비스</t>
  </si>
  <si>
    <t>공공행정, 국방 및 사회보장</t>
  </si>
  <si>
    <t>예술, 스포츠 및 여가 관련 서비스</t>
  </si>
  <si>
    <t>기타 서비스</t>
  </si>
  <si>
    <t>최종수요항목별 생산유발계수 및 생산유발 구성비</t>
  </si>
  <si>
    <t>최종수요항목별 수입유발계수 및 수입유발 구성비</t>
  </si>
  <si>
    <t>최종수요항목별 부가가치유발계수 및 부가가치유발 구성비</t>
  </si>
  <si>
    <t>구성비 차이</t>
  </si>
  <si>
    <t>금액</t>
  </si>
  <si>
    <r>
      <t>전력</t>
    </r>
    <r>
      <rPr>
        <sz val="9"/>
        <color rgb="FF000000"/>
        <rFont val="HCI Poppy"/>
        <family val="2"/>
      </rPr>
      <t>·</t>
    </r>
    <r>
      <rPr>
        <sz val="9"/>
        <color rgb="FF000000"/>
        <rFont val="휴먼명조"/>
        <charset val="129"/>
      </rPr>
      <t>가스</t>
    </r>
    <r>
      <rPr>
        <sz val="13"/>
        <color rgb="FF000000"/>
        <rFont val="맑은 고딕"/>
        <family val="3"/>
        <charset val="129"/>
        <scheme val="minor"/>
      </rPr>
      <t>·</t>
    </r>
    <r>
      <rPr>
        <sz val="9"/>
        <color rgb="FF000000"/>
        <rFont val="휴먼명조"/>
        <charset val="129"/>
      </rPr>
      <t xml:space="preserve">증기 </t>
    </r>
    <phoneticPr fontId="1" type="noConversion"/>
  </si>
  <si>
    <r>
      <t>수도</t>
    </r>
    <r>
      <rPr>
        <sz val="9"/>
        <color rgb="FF000000"/>
        <rFont val="HCI Poppy"/>
        <family val="2"/>
      </rPr>
      <t>·</t>
    </r>
    <r>
      <rPr>
        <sz val="9"/>
        <color rgb="FF000000"/>
        <rFont val="휴먼명조"/>
        <charset val="129"/>
      </rPr>
      <t xml:space="preserve">폐기물처리 및 재활용서비스 </t>
    </r>
    <phoneticPr fontId="1" type="noConversion"/>
  </si>
  <si>
    <r>
      <rPr>
        <b/>
        <sz val="9"/>
        <color rgb="FF000000"/>
        <rFont val="휴먼명조"/>
        <charset val="129"/>
      </rPr>
      <t>서 비 스</t>
    </r>
    <r>
      <rPr>
        <b/>
        <vertAlign val="superscript"/>
        <sz val="9"/>
        <color rgb="FF000000"/>
        <rFont val="HCI Poppy"/>
        <family val="2"/>
      </rPr>
      <t>1)</t>
    </r>
    <phoneticPr fontId="1" type="noConversion"/>
  </si>
  <si>
    <t>차이</t>
  </si>
  <si>
    <t>(목차로 이동)</t>
    <phoneticPr fontId="1" type="noConversion"/>
  </si>
  <si>
    <t>(단위: %, %p)</t>
    <phoneticPr fontId="1" type="noConversion"/>
  </si>
  <si>
    <t>소 비 자 서 비 스</t>
    <phoneticPr fontId="1" type="noConversion"/>
  </si>
  <si>
    <t>사 회 서 비 스</t>
    <phoneticPr fontId="1" type="noConversion"/>
  </si>
  <si>
    <t>생 산 자 서 비 스</t>
    <phoneticPr fontId="1" type="noConversion"/>
  </si>
  <si>
    <t>도 소 매 및 운 송</t>
    <phoneticPr fontId="1" type="noConversion"/>
  </si>
  <si>
    <t>서 비 스</t>
    <phoneticPr fontId="1" type="noConversion"/>
  </si>
  <si>
    <t>전력․가스․수도 및 폐기물</t>
    <phoneticPr fontId="1" type="noConversion"/>
  </si>
  <si>
    <t>조 립 가 공 제 품</t>
    <phoneticPr fontId="1" type="noConversion"/>
  </si>
  <si>
    <t>기 초 소 재 제 품</t>
    <phoneticPr fontId="1" type="noConversion"/>
  </si>
  <si>
    <t>소 비 재</t>
    <phoneticPr fontId="1" type="noConversion"/>
  </si>
  <si>
    <t>공 산 품</t>
    <phoneticPr fontId="1" type="noConversion"/>
  </si>
  <si>
    <t>4. 산업별 국산화율</t>
    <phoneticPr fontId="1" type="noConversion"/>
  </si>
  <si>
    <r>
      <rPr>
        <b/>
        <sz val="9"/>
        <color rgb="FF000000"/>
        <rFont val="휴먼명조"/>
        <charset val="129"/>
      </rPr>
      <t>기타</t>
    </r>
    <r>
      <rPr>
        <b/>
        <vertAlign val="superscript"/>
        <sz val="9"/>
        <color rgb="FF000000"/>
        <rFont val="HCI Poppy"/>
        <family val="2"/>
      </rPr>
      <t xml:space="preserve">1)     </t>
    </r>
    <phoneticPr fontId="1" type="noConversion"/>
  </si>
  <si>
    <t>수출률</t>
    <phoneticPr fontId="1" type="noConversion"/>
  </si>
  <si>
    <t>구성비</t>
    <phoneticPr fontId="1" type="noConversion"/>
  </si>
  <si>
    <t>C-A</t>
    <phoneticPr fontId="1" type="noConversion"/>
  </si>
  <si>
    <t>D-B</t>
    <phoneticPr fontId="1" type="noConversion"/>
  </si>
  <si>
    <t>컴퓨터, 전자 및 광학기기</t>
  </si>
  <si>
    <t>전산업</t>
    <phoneticPr fontId="1" type="noConversion"/>
  </si>
  <si>
    <t>전산업</t>
    <phoneticPr fontId="1" type="noConversion"/>
  </si>
  <si>
    <r>
      <rPr>
        <b/>
        <sz val="9"/>
        <color rgb="FF000000"/>
        <rFont val="휴먼명조"/>
        <charset val="129"/>
      </rPr>
      <t>기타</t>
    </r>
    <r>
      <rPr>
        <b/>
        <vertAlign val="superscript"/>
        <sz val="9"/>
        <color rgb="FF000000"/>
        <rFont val="HCI Poppy"/>
        <family val="2"/>
      </rPr>
      <t xml:space="preserve">2)     </t>
    </r>
    <phoneticPr fontId="1" type="noConversion"/>
  </si>
  <si>
    <r>
      <t>10. 품목별 수입률</t>
    </r>
    <r>
      <rPr>
        <b/>
        <vertAlign val="superscript"/>
        <sz val="14"/>
        <color rgb="FF000000"/>
        <rFont val="휴먼명조"/>
        <charset val="129"/>
      </rPr>
      <t>1)</t>
    </r>
    <r>
      <rPr>
        <b/>
        <sz val="14"/>
        <color rgb="FF000000"/>
        <rFont val="휴먼명조"/>
        <charset val="129"/>
      </rPr>
      <t xml:space="preserve"> 및 구성</t>
    </r>
    <phoneticPr fontId="1" type="noConversion"/>
  </si>
  <si>
    <t>14. 영향력계수 및 감응도계수 추이</t>
    <phoneticPr fontId="1" type="noConversion"/>
  </si>
  <si>
    <r>
      <t>소 비 자 서 비 스</t>
    </r>
    <r>
      <rPr>
        <b/>
        <vertAlign val="superscript"/>
        <sz val="9"/>
        <color rgb="FF000000"/>
        <rFont val="휴먼명조"/>
        <charset val="129"/>
      </rPr>
      <t>2)</t>
    </r>
    <phoneticPr fontId="1" type="noConversion"/>
  </si>
  <si>
    <r>
      <t>사 회 서 비 스</t>
    </r>
    <r>
      <rPr>
        <b/>
        <vertAlign val="superscript"/>
        <sz val="9"/>
        <color rgb="FF000000"/>
        <rFont val="휴먼명조"/>
        <charset val="129"/>
      </rPr>
      <t>2)</t>
    </r>
    <phoneticPr fontId="1" type="noConversion"/>
  </si>
  <si>
    <r>
      <t>생 산 자 서 비 스</t>
    </r>
    <r>
      <rPr>
        <b/>
        <vertAlign val="superscript"/>
        <sz val="9"/>
        <color rgb="FF000000"/>
        <rFont val="휴먼명조"/>
        <charset val="129"/>
      </rPr>
      <t>2)</t>
    </r>
    <phoneticPr fontId="1" type="noConversion"/>
  </si>
  <si>
    <r>
      <t>도 소 매 및 운 송</t>
    </r>
    <r>
      <rPr>
        <b/>
        <vertAlign val="superscript"/>
        <sz val="9"/>
        <color rgb="FF000000"/>
        <rFont val="휴먼명조"/>
        <charset val="129"/>
      </rPr>
      <t xml:space="preserve">2) </t>
    </r>
    <phoneticPr fontId="1" type="noConversion"/>
  </si>
  <si>
    <r>
      <rPr>
        <b/>
        <sz val="9"/>
        <color rgb="FF000000"/>
        <rFont val="휴먼명조"/>
        <charset val="129"/>
      </rPr>
      <t>서 비 스</t>
    </r>
    <r>
      <rPr>
        <b/>
        <vertAlign val="superscript"/>
        <sz val="9"/>
        <color rgb="FF000000"/>
        <rFont val="휴먼명조"/>
        <charset val="129"/>
      </rPr>
      <t>2)</t>
    </r>
    <phoneticPr fontId="1" type="noConversion"/>
  </si>
  <si>
    <r>
      <t>전력․가스․수도 및 폐기물</t>
    </r>
    <r>
      <rPr>
        <b/>
        <vertAlign val="superscript"/>
        <sz val="9"/>
        <color rgb="FF000000"/>
        <rFont val="휴먼명조"/>
        <charset val="129"/>
      </rPr>
      <t>2)</t>
    </r>
    <r>
      <rPr>
        <b/>
        <sz val="9"/>
        <color rgb="FF000000"/>
        <rFont val="휴먼명조"/>
        <charset val="129"/>
      </rPr>
      <t xml:space="preserve"> </t>
    </r>
    <phoneticPr fontId="1" type="noConversion"/>
  </si>
  <si>
    <r>
      <t>기 초 소 재 제 품</t>
    </r>
    <r>
      <rPr>
        <b/>
        <vertAlign val="superscript"/>
        <sz val="9"/>
        <color rgb="FF000000"/>
        <rFont val="휴먼명조"/>
        <charset val="129"/>
      </rPr>
      <t xml:space="preserve">2) </t>
    </r>
    <phoneticPr fontId="1" type="noConversion"/>
  </si>
  <si>
    <r>
      <t>조 립 가 공 제 품</t>
    </r>
    <r>
      <rPr>
        <b/>
        <vertAlign val="superscript"/>
        <sz val="9"/>
        <color rgb="FF000000"/>
        <rFont val="휴먼명조"/>
        <charset val="129"/>
      </rPr>
      <t>2)</t>
    </r>
    <phoneticPr fontId="1" type="noConversion"/>
  </si>
  <si>
    <r>
      <t>소 비 재</t>
    </r>
    <r>
      <rPr>
        <b/>
        <vertAlign val="superscript"/>
        <sz val="9"/>
        <color rgb="FF000000"/>
        <rFont val="휴먼명조"/>
        <charset val="129"/>
      </rPr>
      <t>2)</t>
    </r>
    <phoneticPr fontId="1" type="noConversion"/>
  </si>
  <si>
    <r>
      <t>공 산 품</t>
    </r>
    <r>
      <rPr>
        <b/>
        <vertAlign val="superscript"/>
        <sz val="9"/>
        <color rgb="FF000000"/>
        <rFont val="휴먼명조"/>
        <charset val="129"/>
      </rPr>
      <t>2)</t>
    </r>
    <phoneticPr fontId="1" type="noConversion"/>
  </si>
  <si>
    <t>차례</t>
    <phoneticPr fontId="1" type="noConversion"/>
  </si>
  <si>
    <t>15. 최종수요항목별 생산유발액, 생산유발계수 및 생산유발의존도</t>
    <phoneticPr fontId="1" type="noConversion"/>
  </si>
  <si>
    <t>소비</t>
  </si>
  <si>
    <t>민간소비지출(가계 및 가계봉사 비영리단체)</t>
    <phoneticPr fontId="29" type="noConversion"/>
  </si>
  <si>
    <t>정부소비지출</t>
    <phoneticPr fontId="29" type="noConversion"/>
  </si>
  <si>
    <t>투자</t>
  </si>
  <si>
    <t>민간고정자본형성</t>
    <phoneticPr fontId="29" type="noConversion"/>
  </si>
  <si>
    <t>정부고정자본형성</t>
    <phoneticPr fontId="29" type="noConversion"/>
  </si>
  <si>
    <t>재고증감</t>
    <phoneticPr fontId="29" type="noConversion"/>
  </si>
  <si>
    <t>수출</t>
    <phoneticPr fontId="1" type="noConversion"/>
  </si>
  <si>
    <t>최종수요계</t>
    <phoneticPr fontId="1" type="noConversion"/>
  </si>
  <si>
    <t>수출</t>
    <phoneticPr fontId="1" type="noConversion"/>
  </si>
  <si>
    <t>최종수요계</t>
    <phoneticPr fontId="1" type="noConversion"/>
  </si>
  <si>
    <t>(목차로 이동)</t>
    <phoneticPr fontId="1" type="noConversion"/>
  </si>
  <si>
    <t>15. 최종수요항목별 생산유발액, 생산유발계수 및 생산유발의존도</t>
    <phoneticPr fontId="1" type="noConversion"/>
  </si>
  <si>
    <t>수출</t>
    <phoneticPr fontId="1" type="noConversion"/>
  </si>
  <si>
    <t>최종수요계</t>
    <phoneticPr fontId="1" type="noConversion"/>
  </si>
  <si>
    <t>(상세)최종수요항목별 생산유발계수 및 생산유발 구성비</t>
    <phoneticPr fontId="1" type="noConversion"/>
  </si>
  <si>
    <t>(상세)최종수요항목별 부가가치유발계수 및 부가가치유발 구성비</t>
    <phoneticPr fontId="1" type="noConversion"/>
  </si>
  <si>
    <t>(상세)최종수요항목별 수입유발계수 및 수입유발 구성비</t>
    <phoneticPr fontId="1" type="noConversion"/>
  </si>
  <si>
    <t>16. 최종수요항목별 부가가치유발액, 부가가치유발계수 및 부가가치유발의존도</t>
    <phoneticPr fontId="1" type="noConversion"/>
  </si>
  <si>
    <t>(최종수요 상세항목을 보려면 클릭)</t>
    <phoneticPr fontId="1" type="noConversion"/>
  </si>
  <si>
    <r>
      <rPr>
        <b/>
        <sz val="9"/>
        <color rgb="FF000000"/>
        <rFont val="휴먼명조"/>
        <charset val="129"/>
      </rPr>
      <t>기타</t>
    </r>
    <r>
      <rPr>
        <b/>
        <vertAlign val="superscript"/>
        <sz val="9"/>
        <color rgb="FF000000"/>
        <rFont val="휴먼명조"/>
        <charset val="129"/>
      </rPr>
      <t>3)</t>
    </r>
    <phoneticPr fontId="1" type="noConversion"/>
  </si>
  <si>
    <r>
      <t>소 비 재</t>
    </r>
    <r>
      <rPr>
        <b/>
        <vertAlign val="superscript"/>
        <sz val="9"/>
        <color rgb="FF000000"/>
        <rFont val="휴먼명조"/>
        <charset val="129"/>
      </rPr>
      <t>2)</t>
    </r>
    <phoneticPr fontId="1" type="noConversion"/>
  </si>
  <si>
    <r>
      <t>기 초 소 재 제 품</t>
    </r>
    <r>
      <rPr>
        <b/>
        <vertAlign val="superscript"/>
        <sz val="9"/>
        <color rgb="FF000000"/>
        <rFont val="휴먼명조"/>
        <charset val="129"/>
      </rPr>
      <t xml:space="preserve">2) </t>
    </r>
    <phoneticPr fontId="1" type="noConversion"/>
  </si>
  <si>
    <r>
      <t>조 립 가 공 제 품</t>
    </r>
    <r>
      <rPr>
        <b/>
        <vertAlign val="superscript"/>
        <sz val="9"/>
        <color rgb="FF000000"/>
        <rFont val="휴먼명조"/>
        <charset val="129"/>
      </rPr>
      <t>2)</t>
    </r>
    <phoneticPr fontId="1" type="noConversion"/>
  </si>
  <si>
    <r>
      <t>전력․가스․수도 및 폐기물</t>
    </r>
    <r>
      <rPr>
        <b/>
        <vertAlign val="superscript"/>
        <sz val="9"/>
        <color rgb="FF000000"/>
        <rFont val="휴먼명조"/>
        <charset val="129"/>
      </rPr>
      <t>2)</t>
    </r>
    <r>
      <rPr>
        <b/>
        <sz val="9"/>
        <color rgb="FF000000"/>
        <rFont val="휴먼명조"/>
        <charset val="129"/>
      </rPr>
      <t xml:space="preserve"> </t>
    </r>
    <phoneticPr fontId="1" type="noConversion"/>
  </si>
  <si>
    <r>
      <t>전력</t>
    </r>
    <r>
      <rPr>
        <sz val="9"/>
        <color rgb="FF000000"/>
        <rFont val="HCI Poppy"/>
        <family val="2"/>
      </rPr>
      <t>·</t>
    </r>
    <r>
      <rPr>
        <sz val="9"/>
        <color rgb="FF000000"/>
        <rFont val="휴먼명조"/>
        <charset val="129"/>
      </rPr>
      <t>가스</t>
    </r>
    <r>
      <rPr>
        <sz val="13"/>
        <color rgb="FF000000"/>
        <rFont val="맑은 고딕"/>
        <family val="3"/>
        <charset val="129"/>
        <scheme val="minor"/>
      </rPr>
      <t>·</t>
    </r>
    <r>
      <rPr>
        <sz val="9"/>
        <color rgb="FF000000"/>
        <rFont val="휴먼명조"/>
        <charset val="129"/>
      </rPr>
      <t xml:space="preserve">증기 </t>
    </r>
    <phoneticPr fontId="1" type="noConversion"/>
  </si>
  <si>
    <r>
      <t>수도</t>
    </r>
    <r>
      <rPr>
        <sz val="9"/>
        <color rgb="FF000000"/>
        <rFont val="HCI Poppy"/>
        <family val="2"/>
      </rPr>
      <t>·</t>
    </r>
    <r>
      <rPr>
        <sz val="9"/>
        <color rgb="FF000000"/>
        <rFont val="휴먼명조"/>
        <charset val="129"/>
      </rPr>
      <t xml:space="preserve">폐기물처리 및 재활용서비스 </t>
    </r>
    <phoneticPr fontId="1" type="noConversion"/>
  </si>
  <si>
    <r>
      <rPr>
        <b/>
        <sz val="9"/>
        <color rgb="FF000000"/>
        <rFont val="휴먼명조"/>
        <charset val="129"/>
      </rPr>
      <t>서 비 스</t>
    </r>
    <r>
      <rPr>
        <b/>
        <vertAlign val="superscript"/>
        <sz val="9"/>
        <color rgb="FF000000"/>
        <rFont val="휴먼명조"/>
        <charset val="129"/>
      </rPr>
      <t>2)</t>
    </r>
    <phoneticPr fontId="1" type="noConversion"/>
  </si>
  <si>
    <r>
      <t>도 소 매 및 운 송</t>
    </r>
    <r>
      <rPr>
        <b/>
        <vertAlign val="superscript"/>
        <sz val="9"/>
        <color rgb="FF000000"/>
        <rFont val="휴먼명조"/>
        <charset val="129"/>
      </rPr>
      <t xml:space="preserve">2) </t>
    </r>
    <phoneticPr fontId="1" type="noConversion"/>
  </si>
  <si>
    <r>
      <t>생 산 자 서 비 스</t>
    </r>
    <r>
      <rPr>
        <b/>
        <vertAlign val="superscript"/>
        <sz val="9"/>
        <color rgb="FF000000"/>
        <rFont val="휴먼명조"/>
        <charset val="129"/>
      </rPr>
      <t>2)</t>
    </r>
    <phoneticPr fontId="1" type="noConversion"/>
  </si>
  <si>
    <r>
      <t>사 회 서 비 스</t>
    </r>
    <r>
      <rPr>
        <b/>
        <vertAlign val="superscript"/>
        <sz val="9"/>
        <color rgb="FF000000"/>
        <rFont val="휴먼명조"/>
        <charset val="129"/>
      </rPr>
      <t>2)</t>
    </r>
    <phoneticPr fontId="1" type="noConversion"/>
  </si>
  <si>
    <r>
      <t>소 비 자 서 비 스</t>
    </r>
    <r>
      <rPr>
        <b/>
        <vertAlign val="superscript"/>
        <sz val="9"/>
        <color rgb="FF000000"/>
        <rFont val="휴먼명조"/>
        <charset val="129"/>
      </rPr>
      <t>2)</t>
    </r>
    <phoneticPr fontId="1" type="noConversion"/>
  </si>
  <si>
    <r>
      <rPr>
        <b/>
        <sz val="9"/>
        <color rgb="FF000000"/>
        <rFont val="휴먼명조"/>
        <charset val="129"/>
      </rPr>
      <t>기타</t>
    </r>
    <r>
      <rPr>
        <b/>
        <vertAlign val="superscript"/>
        <sz val="9"/>
        <color rgb="FF000000"/>
        <rFont val="휴먼명조"/>
        <charset val="129"/>
      </rPr>
      <t>3)</t>
    </r>
    <phoneticPr fontId="1" type="noConversion"/>
  </si>
  <si>
    <r>
      <rPr>
        <b/>
        <sz val="9"/>
        <color rgb="FF000000"/>
        <rFont val="휴먼명조"/>
        <charset val="129"/>
      </rPr>
      <t>기타</t>
    </r>
    <r>
      <rPr>
        <b/>
        <vertAlign val="superscript"/>
        <sz val="9"/>
        <color rgb="FF000000"/>
        <rFont val="HCI Poppy"/>
        <family val="2"/>
      </rPr>
      <t>2)</t>
    </r>
    <phoneticPr fontId="1" type="noConversion"/>
  </si>
  <si>
    <r>
      <t>평 균</t>
    </r>
    <r>
      <rPr>
        <b/>
        <vertAlign val="superscript"/>
        <sz val="9"/>
        <color rgb="FF000000"/>
        <rFont val="휴먼명조"/>
        <charset val="129"/>
      </rPr>
      <t>1)</t>
    </r>
    <phoneticPr fontId="1" type="noConversion"/>
  </si>
  <si>
    <t>수출</t>
    <phoneticPr fontId="1" type="noConversion"/>
  </si>
  <si>
    <t>최종수요계</t>
    <phoneticPr fontId="1" type="noConversion"/>
  </si>
  <si>
    <t>(최종수요 상세항목을 보려면 클릭)</t>
    <phoneticPr fontId="1" type="noConversion"/>
  </si>
  <si>
    <t>부가가치유발의존도(%)</t>
  </si>
  <si>
    <t>17. 최종수요항목별 수입유발액, 수입유발계수 및 수입유발의존도</t>
    <phoneticPr fontId="1" type="noConversion"/>
  </si>
  <si>
    <t>(최종수요 상세항목을 보려면 클릭)</t>
    <phoneticPr fontId="1" type="noConversion"/>
  </si>
  <si>
    <t>수입유발의존도(%)</t>
  </si>
  <si>
    <r>
      <t>주: 1) 최종수요항목별 부가가치유발액 = hat(A)</t>
    </r>
    <r>
      <rPr>
        <vertAlign val="superscript"/>
        <sz val="9"/>
        <color rgb="FF000000"/>
        <rFont val="휴먼명조"/>
        <charset val="129"/>
      </rPr>
      <t xml:space="preserve">v </t>
    </r>
    <r>
      <rPr>
        <sz val="9"/>
        <color rgb="FF000000"/>
        <rFont val="휴먼명조"/>
        <charset val="129"/>
      </rPr>
      <t>(I-A</t>
    </r>
    <r>
      <rPr>
        <vertAlign val="superscript"/>
        <sz val="9"/>
        <color theme="1"/>
        <rFont val="휴먼명조"/>
        <charset val="129"/>
      </rPr>
      <t>d</t>
    </r>
    <r>
      <rPr>
        <sz val="9"/>
        <color theme="1"/>
        <rFont val="휴먼명조"/>
        <charset val="129"/>
      </rPr>
      <t>)</t>
    </r>
    <r>
      <rPr>
        <vertAlign val="superscript"/>
        <sz val="9"/>
        <color theme="1"/>
        <rFont val="휴먼명조"/>
        <charset val="129"/>
      </rPr>
      <t xml:space="preserve">-1 </t>
    </r>
    <r>
      <rPr>
        <sz val="9"/>
        <color theme="1"/>
        <rFont val="휴먼명조"/>
        <charset val="129"/>
      </rPr>
      <t>Y</t>
    </r>
    <r>
      <rPr>
        <vertAlign val="superscript"/>
        <sz val="9"/>
        <color theme="1"/>
        <rFont val="휴먼명조"/>
        <charset val="129"/>
      </rPr>
      <t>d</t>
    </r>
    <r>
      <rPr>
        <sz val="9"/>
        <color theme="1"/>
        <rFont val="휴먼명조"/>
        <charset val="129"/>
      </rPr>
      <t xml:space="preserve"> </t>
    </r>
    <phoneticPr fontId="1" type="noConversion"/>
  </si>
  <si>
    <t>(목차로 이동)</t>
    <phoneticPr fontId="1" type="noConversion"/>
  </si>
  <si>
    <t>16. 최종수요항목별 부가가치유발액, 부가가치유발계수 및 부가가치유발의존도</t>
    <phoneticPr fontId="1" type="noConversion"/>
  </si>
  <si>
    <t>민간소비지출(가계 및 가계봉사 비영리단체)</t>
    <phoneticPr fontId="29" type="noConversion"/>
  </si>
  <si>
    <t>정부소비지출</t>
    <phoneticPr fontId="29" type="noConversion"/>
  </si>
  <si>
    <t>민간고정자본형성</t>
    <phoneticPr fontId="29" type="noConversion"/>
  </si>
  <si>
    <t>정부고정자본형성</t>
    <phoneticPr fontId="29" type="noConversion"/>
  </si>
  <si>
    <t>재고증감</t>
    <phoneticPr fontId="29" type="noConversion"/>
  </si>
  <si>
    <t>수출</t>
    <phoneticPr fontId="1" type="noConversion"/>
  </si>
  <si>
    <t>최종수요계</t>
    <phoneticPr fontId="1" type="noConversion"/>
  </si>
  <si>
    <t>민간소비지출(가계 및 가계봉사 비영리단체)</t>
    <phoneticPr fontId="29" type="noConversion"/>
  </si>
  <si>
    <t>정부소비지출</t>
    <phoneticPr fontId="29" type="noConversion"/>
  </si>
  <si>
    <t>민간고정자본형성</t>
    <phoneticPr fontId="29" type="noConversion"/>
  </si>
  <si>
    <t>정부고정자본형성</t>
    <phoneticPr fontId="29" type="noConversion"/>
  </si>
  <si>
    <t>재고증감</t>
    <phoneticPr fontId="29" type="noConversion"/>
  </si>
  <si>
    <t>수출</t>
    <phoneticPr fontId="1" type="noConversion"/>
  </si>
  <si>
    <t>최종수요계</t>
    <phoneticPr fontId="1" type="noConversion"/>
  </si>
  <si>
    <r>
      <t>주: 1) 최종수요항목별 수입유발액 = hat(A)</t>
    </r>
    <r>
      <rPr>
        <vertAlign val="superscript"/>
        <sz val="9"/>
        <color rgb="FF000000"/>
        <rFont val="휴먼명조"/>
        <charset val="129"/>
      </rPr>
      <t xml:space="preserve">m </t>
    </r>
    <r>
      <rPr>
        <sz val="9"/>
        <color rgb="FF000000"/>
        <rFont val="휴먼명조"/>
        <charset val="129"/>
      </rPr>
      <t>(I-A</t>
    </r>
    <r>
      <rPr>
        <vertAlign val="superscript"/>
        <sz val="9"/>
        <color theme="1"/>
        <rFont val="휴먼명조"/>
        <charset val="129"/>
      </rPr>
      <t>d</t>
    </r>
    <r>
      <rPr>
        <sz val="9"/>
        <color theme="1"/>
        <rFont val="휴먼명조"/>
        <charset val="129"/>
      </rPr>
      <t>)</t>
    </r>
    <r>
      <rPr>
        <vertAlign val="superscript"/>
        <sz val="9"/>
        <color theme="1"/>
        <rFont val="휴먼명조"/>
        <charset val="129"/>
      </rPr>
      <t xml:space="preserve">-1 </t>
    </r>
    <r>
      <rPr>
        <sz val="9"/>
        <color theme="1"/>
        <rFont val="휴먼명조"/>
        <charset val="129"/>
      </rPr>
      <t>Y</t>
    </r>
    <r>
      <rPr>
        <vertAlign val="superscript"/>
        <sz val="9"/>
        <color theme="1"/>
        <rFont val="휴먼명조"/>
        <charset val="129"/>
      </rPr>
      <t>d</t>
    </r>
    <r>
      <rPr>
        <sz val="9"/>
        <color theme="1"/>
        <rFont val="휴먼명조"/>
        <charset val="129"/>
      </rPr>
      <t xml:space="preserve"> + Y</t>
    </r>
    <r>
      <rPr>
        <vertAlign val="superscript"/>
        <sz val="9"/>
        <color theme="1"/>
        <rFont val="휴먼명조"/>
        <charset val="129"/>
      </rPr>
      <t>m</t>
    </r>
    <phoneticPr fontId="1" type="noConversion"/>
  </si>
  <si>
    <t>(목차로 이동)</t>
    <phoneticPr fontId="1" type="noConversion"/>
  </si>
  <si>
    <t>15. 최종수요항목별 생산유발액, 생산유발계수 및 생산유발의존도</t>
    <phoneticPr fontId="1" type="noConversion"/>
  </si>
  <si>
    <t>수출</t>
    <phoneticPr fontId="1" type="noConversion"/>
  </si>
  <si>
    <t>최종수요계</t>
    <phoneticPr fontId="1" type="noConversion"/>
  </si>
  <si>
    <r>
      <t>주: 1) 최종수요항목별 생산유발액 = (I-A</t>
    </r>
    <r>
      <rPr>
        <vertAlign val="superscript"/>
        <sz val="9"/>
        <color theme="1"/>
        <rFont val="휴먼명조"/>
        <charset val="129"/>
      </rPr>
      <t>d</t>
    </r>
    <r>
      <rPr>
        <sz val="9"/>
        <color theme="1"/>
        <rFont val="휴먼명조"/>
        <charset val="129"/>
      </rPr>
      <t>)</t>
    </r>
    <r>
      <rPr>
        <vertAlign val="superscript"/>
        <sz val="9"/>
        <color theme="1"/>
        <rFont val="휴먼명조"/>
        <charset val="129"/>
      </rPr>
      <t xml:space="preserve">-1 </t>
    </r>
    <r>
      <rPr>
        <sz val="9"/>
        <color theme="1"/>
        <rFont val="휴먼명조"/>
        <charset val="129"/>
      </rPr>
      <t>Y</t>
    </r>
    <r>
      <rPr>
        <vertAlign val="superscript"/>
        <sz val="9"/>
        <color theme="1"/>
        <rFont val="휴먼명조"/>
        <charset val="129"/>
      </rPr>
      <t>d</t>
    </r>
    <r>
      <rPr>
        <sz val="9"/>
        <color theme="1"/>
        <rFont val="휴먼명조"/>
        <charset val="129"/>
      </rPr>
      <t xml:space="preserve"> </t>
    </r>
    <phoneticPr fontId="1" type="noConversion"/>
  </si>
  <si>
    <t>17. 최종수요항목별 수입유발액, 수입유발계수 및 수입유발의존도</t>
    <phoneticPr fontId="1" type="noConversion"/>
  </si>
  <si>
    <t>수출</t>
    <phoneticPr fontId="1" type="noConversion"/>
  </si>
  <si>
    <t>최종수요계</t>
    <phoneticPr fontId="1" type="noConversion"/>
  </si>
  <si>
    <r>
      <t>주: 1) 최종수요항목별 수입유발액 = hat(A)</t>
    </r>
    <r>
      <rPr>
        <vertAlign val="superscript"/>
        <sz val="9"/>
        <color rgb="FF000000"/>
        <rFont val="휴먼명조"/>
        <charset val="129"/>
      </rPr>
      <t xml:space="preserve">m </t>
    </r>
    <r>
      <rPr>
        <sz val="9"/>
        <color rgb="FF000000"/>
        <rFont val="휴먼명조"/>
        <charset val="129"/>
      </rPr>
      <t>(I-A</t>
    </r>
    <r>
      <rPr>
        <vertAlign val="superscript"/>
        <sz val="9"/>
        <color theme="1"/>
        <rFont val="휴먼명조"/>
        <charset val="129"/>
      </rPr>
      <t>d</t>
    </r>
    <r>
      <rPr>
        <sz val="9"/>
        <color theme="1"/>
        <rFont val="휴먼명조"/>
        <charset val="129"/>
      </rPr>
      <t>)</t>
    </r>
    <r>
      <rPr>
        <vertAlign val="superscript"/>
        <sz val="9"/>
        <color theme="1"/>
        <rFont val="휴먼명조"/>
        <charset val="129"/>
      </rPr>
      <t xml:space="preserve">-1 </t>
    </r>
    <r>
      <rPr>
        <sz val="9"/>
        <color theme="1"/>
        <rFont val="휴먼명조"/>
        <charset val="129"/>
      </rPr>
      <t>Y</t>
    </r>
    <r>
      <rPr>
        <vertAlign val="superscript"/>
        <sz val="9"/>
        <color theme="1"/>
        <rFont val="휴먼명조"/>
        <charset val="129"/>
      </rPr>
      <t>d</t>
    </r>
    <r>
      <rPr>
        <sz val="9"/>
        <color theme="1"/>
        <rFont val="휴먼명조"/>
        <charset val="129"/>
      </rPr>
      <t xml:space="preserve"> + Y</t>
    </r>
    <r>
      <rPr>
        <vertAlign val="superscript"/>
        <sz val="9"/>
        <color theme="1"/>
        <rFont val="휴먼명조"/>
        <charset val="129"/>
      </rPr>
      <t>m</t>
    </r>
    <phoneticPr fontId="1" type="noConversion"/>
  </si>
  <si>
    <t>주: 1) 분류불명으로, 2010년도에는 분류불명 부문을 별도로 분류하지 않음</t>
  </si>
  <si>
    <t>2. 산업별 부가가치 및 구성</t>
    <phoneticPr fontId="1" type="noConversion"/>
  </si>
  <si>
    <t>(단위: 조원, %, %p)</t>
    <phoneticPr fontId="1" type="noConversion"/>
  </si>
  <si>
    <t>B-A</t>
    <phoneticPr fontId="1" type="noConversion"/>
  </si>
  <si>
    <t>C-B</t>
    <phoneticPr fontId="1" type="noConversion"/>
  </si>
  <si>
    <t>공 산 품</t>
    <phoneticPr fontId="1" type="noConversion"/>
  </si>
  <si>
    <t>소 비 재</t>
    <phoneticPr fontId="1" type="noConversion"/>
  </si>
  <si>
    <t>기 초 소 재 제 품</t>
    <phoneticPr fontId="1" type="noConversion"/>
  </si>
  <si>
    <t>조 립 가 공 제 품</t>
    <phoneticPr fontId="1" type="noConversion"/>
  </si>
  <si>
    <t>컴퓨터, 전자 및 광학기기</t>
    <phoneticPr fontId="1" type="noConversion"/>
  </si>
  <si>
    <t>전력․가스․수도 및 폐기물</t>
    <phoneticPr fontId="1" type="noConversion"/>
  </si>
  <si>
    <r>
      <t>전력</t>
    </r>
    <r>
      <rPr>
        <sz val="9"/>
        <color rgb="FF000000"/>
        <rFont val="HCI Poppy"/>
        <family val="2"/>
      </rPr>
      <t>·</t>
    </r>
    <r>
      <rPr>
        <sz val="9"/>
        <color rgb="FF000000"/>
        <rFont val="휴먼명조"/>
        <charset val="129"/>
      </rPr>
      <t>가스</t>
    </r>
    <r>
      <rPr>
        <sz val="13"/>
        <color rgb="FF000000"/>
        <rFont val="맑은 고딕"/>
        <family val="3"/>
        <charset val="129"/>
        <scheme val="minor"/>
      </rPr>
      <t>·</t>
    </r>
    <r>
      <rPr>
        <sz val="9"/>
        <color rgb="FF000000"/>
        <rFont val="휴먼명조"/>
        <charset val="129"/>
      </rPr>
      <t xml:space="preserve">증기 </t>
    </r>
    <phoneticPr fontId="1" type="noConversion"/>
  </si>
  <si>
    <r>
      <t>수도</t>
    </r>
    <r>
      <rPr>
        <sz val="9"/>
        <color rgb="FF000000"/>
        <rFont val="HCI Poppy"/>
        <family val="2"/>
      </rPr>
      <t>·</t>
    </r>
    <r>
      <rPr>
        <sz val="9"/>
        <color rgb="FF000000"/>
        <rFont val="휴먼명조"/>
        <charset val="129"/>
      </rPr>
      <t xml:space="preserve">폐기물처리 및 재활용서비스 </t>
    </r>
    <phoneticPr fontId="1" type="noConversion"/>
  </si>
  <si>
    <t>서 비 스</t>
    <phoneticPr fontId="1" type="noConversion"/>
  </si>
  <si>
    <t>도 소 매 및 운 송</t>
    <phoneticPr fontId="1" type="noConversion"/>
  </si>
  <si>
    <t>생 산 자 서 비 스</t>
    <phoneticPr fontId="1" type="noConversion"/>
  </si>
  <si>
    <t>사 회 서 비 스</t>
    <phoneticPr fontId="1" type="noConversion"/>
  </si>
  <si>
    <t>소 비 자 서 비 스</t>
    <phoneticPr fontId="1" type="noConversion"/>
  </si>
  <si>
    <r>
      <rPr>
        <b/>
        <sz val="9"/>
        <color rgb="FF000000"/>
        <rFont val="휴먼명조"/>
        <charset val="129"/>
      </rPr>
      <t>기타</t>
    </r>
    <r>
      <rPr>
        <b/>
        <vertAlign val="superscript"/>
        <sz val="9"/>
        <color rgb="FF000000"/>
        <rFont val="HCI Poppy"/>
        <family val="2"/>
      </rPr>
      <t xml:space="preserve">1)     </t>
    </r>
    <phoneticPr fontId="1" type="noConversion"/>
  </si>
  <si>
    <t>전산업</t>
    <phoneticPr fontId="1" type="noConversion"/>
  </si>
  <si>
    <t>3. 산업별 중간투입률</t>
    <phoneticPr fontId="1" type="noConversion"/>
  </si>
  <si>
    <t>(목차로 이동)</t>
    <phoneticPr fontId="1" type="noConversion"/>
  </si>
  <si>
    <t>5. 산업별 수입투입률</t>
    <phoneticPr fontId="1" type="noConversion"/>
  </si>
  <si>
    <t>(단위: %, %p)</t>
    <phoneticPr fontId="1" type="noConversion"/>
  </si>
  <si>
    <t>공 산 품</t>
    <phoneticPr fontId="1" type="noConversion"/>
  </si>
  <si>
    <t>소 비 재</t>
    <phoneticPr fontId="1" type="noConversion"/>
  </si>
  <si>
    <t>6. 산업별 부가가치율</t>
    <phoneticPr fontId="1" type="noConversion"/>
  </si>
  <si>
    <t>공 산 품</t>
    <phoneticPr fontId="1" type="noConversion"/>
  </si>
  <si>
    <t>소 비 재</t>
    <phoneticPr fontId="1" type="noConversion"/>
  </si>
  <si>
    <r>
      <t>9. 품목별 수출률</t>
    </r>
    <r>
      <rPr>
        <b/>
        <vertAlign val="superscript"/>
        <sz val="14"/>
        <color rgb="FF000000"/>
        <rFont val="휴먼명조"/>
        <charset val="129"/>
      </rPr>
      <t>1)</t>
    </r>
    <r>
      <rPr>
        <b/>
        <sz val="14"/>
        <color rgb="FF000000"/>
        <rFont val="휴먼명조"/>
        <charset val="129"/>
      </rPr>
      <t xml:space="preserve"> 및 구성</t>
    </r>
    <phoneticPr fontId="1" type="noConversion"/>
  </si>
  <si>
    <t>구성비</t>
    <phoneticPr fontId="1" type="noConversion"/>
  </si>
  <si>
    <t>D-B</t>
    <phoneticPr fontId="1" type="noConversion"/>
  </si>
  <si>
    <t>공 산 품</t>
    <phoneticPr fontId="1" type="noConversion"/>
  </si>
  <si>
    <t>소 비 재</t>
    <phoneticPr fontId="1" type="noConversion"/>
  </si>
  <si>
    <t>기 초 소 재 제 품</t>
    <phoneticPr fontId="1" type="noConversion"/>
  </si>
  <si>
    <t>조 립 가 공 제 품</t>
    <phoneticPr fontId="1" type="noConversion"/>
  </si>
  <si>
    <t>전력․가스․수도 및 폐기물</t>
    <phoneticPr fontId="1" type="noConversion"/>
  </si>
  <si>
    <r>
      <t>전력</t>
    </r>
    <r>
      <rPr>
        <sz val="9"/>
        <color rgb="FF000000"/>
        <rFont val="HCI Poppy"/>
        <family val="2"/>
      </rPr>
      <t>·</t>
    </r>
    <r>
      <rPr>
        <sz val="9"/>
        <color rgb="FF000000"/>
        <rFont val="휴먼명조"/>
        <charset val="129"/>
      </rPr>
      <t>가스</t>
    </r>
    <r>
      <rPr>
        <sz val="13"/>
        <color rgb="FF000000"/>
        <rFont val="맑은 고딕"/>
        <family val="3"/>
        <charset val="129"/>
        <scheme val="minor"/>
      </rPr>
      <t>·</t>
    </r>
    <r>
      <rPr>
        <sz val="9"/>
        <color rgb="FF000000"/>
        <rFont val="휴먼명조"/>
        <charset val="129"/>
      </rPr>
      <t xml:space="preserve">증기 </t>
    </r>
    <phoneticPr fontId="1" type="noConversion"/>
  </si>
  <si>
    <r>
      <t>수도</t>
    </r>
    <r>
      <rPr>
        <sz val="9"/>
        <color rgb="FF000000"/>
        <rFont val="HCI Poppy"/>
        <family val="2"/>
      </rPr>
      <t>·</t>
    </r>
    <r>
      <rPr>
        <sz val="9"/>
        <color rgb="FF000000"/>
        <rFont val="휴먼명조"/>
        <charset val="129"/>
      </rPr>
      <t xml:space="preserve">폐기물처리 및 재활용서비스 </t>
    </r>
    <phoneticPr fontId="1" type="noConversion"/>
  </si>
  <si>
    <t>서 비 스</t>
    <phoneticPr fontId="1" type="noConversion"/>
  </si>
  <si>
    <t>도 소 매 및 운 송</t>
    <phoneticPr fontId="1" type="noConversion"/>
  </si>
  <si>
    <t>생 산 자 서 비 스</t>
    <phoneticPr fontId="1" type="noConversion"/>
  </si>
  <si>
    <t>사 회 서 비 스</t>
    <phoneticPr fontId="1" type="noConversion"/>
  </si>
  <si>
    <t>소 비 자 서 비 스</t>
    <phoneticPr fontId="1" type="noConversion"/>
  </si>
  <si>
    <r>
      <rPr>
        <b/>
        <sz val="9"/>
        <color rgb="FF000000"/>
        <rFont val="휴먼명조"/>
        <charset val="129"/>
      </rPr>
      <t>기타</t>
    </r>
    <r>
      <rPr>
        <b/>
        <vertAlign val="superscript"/>
        <sz val="9"/>
        <color rgb="FF000000"/>
        <rFont val="HCI Poppy"/>
        <family val="2"/>
      </rPr>
      <t xml:space="preserve">2)     </t>
    </r>
    <phoneticPr fontId="1" type="noConversion"/>
  </si>
  <si>
    <t>전산업</t>
    <phoneticPr fontId="1" type="noConversion"/>
  </si>
  <si>
    <t>수입률</t>
  </si>
  <si>
    <t>수입률(A)</t>
  </si>
  <si>
    <t>수입률(C)</t>
  </si>
  <si>
    <t>(목차로 이동)</t>
    <phoneticPr fontId="1" type="noConversion"/>
  </si>
  <si>
    <t>11. 품목별 생산유발계수</t>
    <phoneticPr fontId="1" type="noConversion"/>
  </si>
  <si>
    <r>
      <t>12. 품목별 부가가치유발계수</t>
    </r>
    <r>
      <rPr>
        <b/>
        <vertAlign val="superscript"/>
        <sz val="14"/>
        <color rgb="FF000000"/>
        <rFont val="휴먼명조"/>
        <charset val="129"/>
      </rPr>
      <t>1)</t>
    </r>
    <phoneticPr fontId="1" type="noConversion"/>
  </si>
  <si>
    <r>
      <t>공 산 품</t>
    </r>
    <r>
      <rPr>
        <b/>
        <vertAlign val="superscript"/>
        <sz val="9"/>
        <color rgb="FF000000"/>
        <rFont val="휴먼명조"/>
        <charset val="129"/>
      </rPr>
      <t>2)</t>
    </r>
    <phoneticPr fontId="1" type="noConversion"/>
  </si>
  <si>
    <r>
      <t>소 비 재</t>
    </r>
    <r>
      <rPr>
        <b/>
        <vertAlign val="superscript"/>
        <sz val="9"/>
        <color rgb="FF000000"/>
        <rFont val="휴먼명조"/>
        <charset val="129"/>
      </rPr>
      <t>2)</t>
    </r>
    <phoneticPr fontId="1" type="noConversion"/>
  </si>
  <si>
    <r>
      <t>기 초 소 재 제 품</t>
    </r>
    <r>
      <rPr>
        <b/>
        <vertAlign val="superscript"/>
        <sz val="9"/>
        <color rgb="FF000000"/>
        <rFont val="휴먼명조"/>
        <charset val="129"/>
      </rPr>
      <t xml:space="preserve">2) </t>
    </r>
    <phoneticPr fontId="1" type="noConversion"/>
  </si>
  <si>
    <r>
      <t>조 립 가 공 제 품</t>
    </r>
    <r>
      <rPr>
        <b/>
        <vertAlign val="superscript"/>
        <sz val="9"/>
        <color rgb="FF000000"/>
        <rFont val="휴먼명조"/>
        <charset val="129"/>
      </rPr>
      <t>2)</t>
    </r>
    <phoneticPr fontId="1" type="noConversion"/>
  </si>
  <si>
    <r>
      <t>전력․가스․수도 및 폐기물</t>
    </r>
    <r>
      <rPr>
        <b/>
        <vertAlign val="superscript"/>
        <sz val="9"/>
        <color rgb="FF000000"/>
        <rFont val="휴먼명조"/>
        <charset val="129"/>
      </rPr>
      <t>2)</t>
    </r>
    <r>
      <rPr>
        <b/>
        <sz val="9"/>
        <color rgb="FF000000"/>
        <rFont val="휴먼명조"/>
        <charset val="129"/>
      </rPr>
      <t xml:space="preserve"> </t>
    </r>
    <phoneticPr fontId="1" type="noConversion"/>
  </si>
  <si>
    <r>
      <rPr>
        <b/>
        <sz val="9"/>
        <color rgb="FF000000"/>
        <rFont val="휴먼명조"/>
        <charset val="129"/>
      </rPr>
      <t>서 비 스</t>
    </r>
    <r>
      <rPr>
        <b/>
        <vertAlign val="superscript"/>
        <sz val="9"/>
        <color rgb="FF000000"/>
        <rFont val="휴먼명조"/>
        <charset val="129"/>
      </rPr>
      <t>2)</t>
    </r>
    <phoneticPr fontId="1" type="noConversion"/>
  </si>
  <si>
    <r>
      <t>도 소 매 및 운 송</t>
    </r>
    <r>
      <rPr>
        <b/>
        <vertAlign val="superscript"/>
        <sz val="9"/>
        <color rgb="FF000000"/>
        <rFont val="휴먼명조"/>
        <charset val="129"/>
      </rPr>
      <t xml:space="preserve">2) </t>
    </r>
    <phoneticPr fontId="1" type="noConversion"/>
  </si>
  <si>
    <r>
      <t>생 산 자 서 비 스</t>
    </r>
    <r>
      <rPr>
        <b/>
        <vertAlign val="superscript"/>
        <sz val="9"/>
        <color rgb="FF000000"/>
        <rFont val="휴먼명조"/>
        <charset val="129"/>
      </rPr>
      <t>2)</t>
    </r>
    <phoneticPr fontId="1" type="noConversion"/>
  </si>
  <si>
    <r>
      <t>사 회 서 비 스</t>
    </r>
    <r>
      <rPr>
        <b/>
        <vertAlign val="superscript"/>
        <sz val="9"/>
        <color rgb="FF000000"/>
        <rFont val="휴먼명조"/>
        <charset val="129"/>
      </rPr>
      <t>2)</t>
    </r>
    <phoneticPr fontId="1" type="noConversion"/>
  </si>
  <si>
    <r>
      <t>소 비 자 서 비 스</t>
    </r>
    <r>
      <rPr>
        <b/>
        <vertAlign val="superscript"/>
        <sz val="9"/>
        <color rgb="FF000000"/>
        <rFont val="휴먼명조"/>
        <charset val="129"/>
      </rPr>
      <t>2)</t>
    </r>
    <phoneticPr fontId="1" type="noConversion"/>
  </si>
  <si>
    <r>
      <rPr>
        <b/>
        <sz val="9"/>
        <color rgb="FF000000"/>
        <rFont val="휴먼명조"/>
        <charset val="129"/>
      </rPr>
      <t>기타</t>
    </r>
    <r>
      <rPr>
        <b/>
        <vertAlign val="superscript"/>
        <sz val="9"/>
        <color rgb="FF000000"/>
        <rFont val="휴먼명조"/>
        <charset val="129"/>
      </rPr>
      <t>3)</t>
    </r>
    <phoneticPr fontId="1" type="noConversion"/>
  </si>
  <si>
    <t>13. 품목별 수입유발계수</t>
    <phoneticPr fontId="1" type="noConversion"/>
  </si>
  <si>
    <t>기타 제조업 제품</t>
    <phoneticPr fontId="1" type="noConversion"/>
  </si>
  <si>
    <t>제조임가공·산업용 장비 수리</t>
    <phoneticPr fontId="1" type="noConversion"/>
  </si>
  <si>
    <t>기타 제조업 제품</t>
    <phoneticPr fontId="1" type="noConversion"/>
  </si>
  <si>
    <t>주: 1) 품목별 수출률 = 수출 ÷ 총산출액</t>
  </si>
  <si>
    <t xml:space="preserve">    2) 분류불명으로, 2010년도에는 분류불명 부문을 별도로 분류하지 않음</t>
  </si>
  <si>
    <t>주: 1) 품목별 수입률 = 수입 ÷ 총공급액</t>
  </si>
  <si>
    <t xml:space="preserve">    2) 각각의 통합거래표를 추출하여 도출. 1부문, 7부문, 13부문 거래표에서 얻어진 유발계수에 해당 </t>
  </si>
  <si>
    <t xml:space="preserve">    3) 분류불명으로, 2010년도에는 분류불명 부문을 별도로 분류하지 않음</t>
  </si>
  <si>
    <t xml:space="preserve">주: 1) 각각의 통합거래표를 추출하여 도출. 1부문, 7부문, 13부문 거래표에서 얻어진 유발계수에 해당 </t>
  </si>
  <si>
    <r>
      <t xml:space="preserve">    2) 최종수요항목별 생산유발계수 = {(I-A</t>
    </r>
    <r>
      <rPr>
        <vertAlign val="superscript"/>
        <sz val="9"/>
        <color rgb="FF000000"/>
        <rFont val="휴먼명조"/>
        <charset val="129"/>
      </rPr>
      <t>d</t>
    </r>
    <r>
      <rPr>
        <sz val="9"/>
        <color rgb="FF000000"/>
        <rFont val="휴먼명조"/>
        <charset val="129"/>
      </rPr>
      <t>)</t>
    </r>
    <r>
      <rPr>
        <vertAlign val="superscript"/>
        <sz val="9"/>
        <color rgb="FF000000"/>
        <rFont val="휴먼명조"/>
        <charset val="129"/>
      </rPr>
      <t>-1</t>
    </r>
    <r>
      <rPr>
        <sz val="9"/>
        <color rgb="FF000000"/>
        <rFont val="휴먼명조"/>
        <charset val="129"/>
      </rPr>
      <t xml:space="preserve"> Y</t>
    </r>
    <r>
      <rPr>
        <vertAlign val="superscript"/>
        <sz val="9"/>
        <color rgb="FF000000"/>
        <rFont val="휴먼명조"/>
        <charset val="129"/>
      </rPr>
      <t>d</t>
    </r>
    <r>
      <rPr>
        <sz val="9"/>
        <color rgb="FF000000"/>
        <rFont val="휴먼명조"/>
        <charset val="129"/>
      </rPr>
      <t xml:space="preserve"> } ÷항목별 최종수요액 </t>
    </r>
    <phoneticPr fontId="1" type="noConversion"/>
  </si>
  <si>
    <r>
      <t>주: 1) 최종수요항목별 생산유발액 = (I-A</t>
    </r>
    <r>
      <rPr>
        <vertAlign val="superscript"/>
        <sz val="9"/>
        <color rgb="FF000000"/>
        <rFont val="휴먼명조"/>
        <charset val="129"/>
      </rPr>
      <t>d</t>
    </r>
    <r>
      <rPr>
        <sz val="9"/>
        <color rgb="FF000000"/>
        <rFont val="휴먼명조"/>
        <charset val="129"/>
      </rPr>
      <t>)</t>
    </r>
    <r>
      <rPr>
        <vertAlign val="superscript"/>
        <sz val="9"/>
        <color rgb="FF000000"/>
        <rFont val="휴먼명조"/>
        <charset val="129"/>
      </rPr>
      <t>-1</t>
    </r>
    <r>
      <rPr>
        <sz val="9"/>
        <color rgb="FF000000"/>
        <rFont val="휴먼명조"/>
        <charset val="129"/>
      </rPr>
      <t xml:space="preserve"> Y</t>
    </r>
    <r>
      <rPr>
        <vertAlign val="superscript"/>
        <sz val="9"/>
        <color rgb="FF000000"/>
        <rFont val="휴먼명조"/>
        <charset val="129"/>
      </rPr>
      <t>d</t>
    </r>
    <r>
      <rPr>
        <sz val="9"/>
        <color rgb="FF000000"/>
        <rFont val="휴먼명조"/>
        <charset val="129"/>
      </rPr>
      <t xml:space="preserve"> </t>
    </r>
    <phoneticPr fontId="1" type="noConversion"/>
  </si>
  <si>
    <r>
      <t xml:space="preserve">       단, A</t>
    </r>
    <r>
      <rPr>
        <vertAlign val="superscript"/>
        <sz val="9"/>
        <color theme="1"/>
        <rFont val="휴먼명조"/>
        <charset val="129"/>
      </rPr>
      <t>d</t>
    </r>
    <r>
      <rPr>
        <sz val="9"/>
        <color theme="1"/>
        <rFont val="휴먼명조"/>
        <charset val="129"/>
      </rPr>
      <t xml:space="preserve"> 는 33부문 국산투입계수행렬, (I-A</t>
    </r>
    <r>
      <rPr>
        <vertAlign val="superscript"/>
        <sz val="9"/>
        <color theme="1"/>
        <rFont val="휴먼명조"/>
        <charset val="129"/>
      </rPr>
      <t>d</t>
    </r>
    <r>
      <rPr>
        <sz val="9"/>
        <color theme="1"/>
        <rFont val="휴먼명조"/>
        <charset val="129"/>
      </rPr>
      <t>)</t>
    </r>
    <r>
      <rPr>
        <vertAlign val="superscript"/>
        <sz val="9"/>
        <color theme="1"/>
        <rFont val="휴먼명조"/>
        <charset val="129"/>
      </rPr>
      <t>-1</t>
    </r>
    <r>
      <rPr>
        <sz val="9"/>
        <color theme="1"/>
        <rFont val="휴먼명조"/>
        <charset val="129"/>
      </rPr>
      <t xml:space="preserve"> 는 33부문으로 계산한 생산유발계수행렬, Y</t>
    </r>
    <r>
      <rPr>
        <vertAlign val="superscript"/>
        <sz val="9"/>
        <color theme="1"/>
        <rFont val="휴먼명조"/>
        <charset val="129"/>
      </rPr>
      <t>d</t>
    </r>
    <r>
      <rPr>
        <sz val="9"/>
        <color theme="1"/>
        <rFont val="휴먼명조"/>
        <charset val="129"/>
      </rPr>
      <t>는 국내최종 수요(소비,투자,수출)벡터에 해당.</t>
    </r>
    <phoneticPr fontId="1" type="noConversion"/>
  </si>
  <si>
    <r>
      <t xml:space="preserve">    2) 최종수요항목별 생산유발계수 = {(I-A</t>
    </r>
    <r>
      <rPr>
        <vertAlign val="superscript"/>
        <sz val="9"/>
        <color theme="1"/>
        <rFont val="휴먼명조"/>
        <charset val="129"/>
      </rPr>
      <t>d</t>
    </r>
    <r>
      <rPr>
        <sz val="9"/>
        <color theme="1"/>
        <rFont val="휴먼명조"/>
        <charset val="129"/>
      </rPr>
      <t>)</t>
    </r>
    <r>
      <rPr>
        <vertAlign val="superscript"/>
        <sz val="9"/>
        <color theme="1"/>
        <rFont val="휴먼명조"/>
        <charset val="129"/>
      </rPr>
      <t xml:space="preserve">-1 </t>
    </r>
    <r>
      <rPr>
        <sz val="9"/>
        <color theme="1"/>
        <rFont val="휴먼명조"/>
        <charset val="129"/>
      </rPr>
      <t>Y</t>
    </r>
    <r>
      <rPr>
        <vertAlign val="superscript"/>
        <sz val="9"/>
        <color theme="1"/>
        <rFont val="휴먼명조"/>
        <charset val="129"/>
      </rPr>
      <t xml:space="preserve">d </t>
    </r>
    <r>
      <rPr>
        <sz val="9"/>
        <color theme="1"/>
        <rFont val="휴먼명조"/>
        <charset val="129"/>
      </rPr>
      <t xml:space="preserve">} ÷ 항목별 최종수요액 </t>
    </r>
    <phoneticPr fontId="1" type="noConversion"/>
  </si>
  <si>
    <r>
      <t xml:space="preserve">       단, A</t>
    </r>
    <r>
      <rPr>
        <vertAlign val="superscript"/>
        <sz val="9"/>
        <color theme="1"/>
        <rFont val="휴먼명조"/>
        <charset val="129"/>
      </rPr>
      <t>d</t>
    </r>
    <r>
      <rPr>
        <sz val="9"/>
        <color theme="1"/>
        <rFont val="휴먼명조"/>
        <charset val="129"/>
      </rPr>
      <t xml:space="preserve"> 는 33부문 국산투입계수행렬, (I-A</t>
    </r>
    <r>
      <rPr>
        <vertAlign val="superscript"/>
        <sz val="9"/>
        <color theme="1"/>
        <rFont val="휴먼명조"/>
        <charset val="129"/>
      </rPr>
      <t>d</t>
    </r>
    <r>
      <rPr>
        <sz val="9"/>
        <color theme="1"/>
        <rFont val="휴먼명조"/>
        <charset val="129"/>
      </rPr>
      <t>)</t>
    </r>
    <r>
      <rPr>
        <vertAlign val="superscript"/>
        <sz val="9"/>
        <color theme="1"/>
        <rFont val="휴먼명조"/>
        <charset val="129"/>
      </rPr>
      <t>-1</t>
    </r>
    <r>
      <rPr>
        <sz val="9"/>
        <color theme="1"/>
        <rFont val="휴먼명조"/>
        <charset val="129"/>
      </rPr>
      <t xml:space="preserve"> 는 33부문으로 계산한 생산유발계수행렬, Y</t>
    </r>
    <r>
      <rPr>
        <vertAlign val="superscript"/>
        <sz val="9"/>
        <color theme="1"/>
        <rFont val="휴먼명조"/>
        <charset val="129"/>
      </rPr>
      <t>d</t>
    </r>
    <r>
      <rPr>
        <sz val="9"/>
        <color theme="1"/>
        <rFont val="휴먼명조"/>
        <charset val="129"/>
      </rPr>
      <t>는 국내최종 수요(소비,투자,수출)벡터에 해당.</t>
    </r>
    <phoneticPr fontId="1" type="noConversion"/>
  </si>
  <si>
    <r>
      <t xml:space="preserve">    2) 최종수요항목별 생산유발계수 = hat(A)</t>
    </r>
    <r>
      <rPr>
        <vertAlign val="superscript"/>
        <sz val="9"/>
        <color rgb="FF000000"/>
        <rFont val="휴먼명조"/>
        <charset val="129"/>
      </rPr>
      <t>v</t>
    </r>
    <r>
      <rPr>
        <sz val="9"/>
        <color rgb="FF000000"/>
        <rFont val="휴먼명조"/>
        <charset val="129"/>
      </rPr>
      <t xml:space="preserve"> {(I-A</t>
    </r>
    <r>
      <rPr>
        <vertAlign val="superscript"/>
        <sz val="9"/>
        <color theme="1"/>
        <rFont val="휴먼명조"/>
        <charset val="129"/>
      </rPr>
      <t>d</t>
    </r>
    <r>
      <rPr>
        <sz val="9"/>
        <color theme="1"/>
        <rFont val="휴먼명조"/>
        <charset val="129"/>
      </rPr>
      <t>)</t>
    </r>
    <r>
      <rPr>
        <vertAlign val="superscript"/>
        <sz val="9"/>
        <color theme="1"/>
        <rFont val="휴먼명조"/>
        <charset val="129"/>
      </rPr>
      <t xml:space="preserve">-1 </t>
    </r>
    <r>
      <rPr>
        <sz val="9"/>
        <color theme="1"/>
        <rFont val="휴먼명조"/>
        <charset val="129"/>
      </rPr>
      <t>Y</t>
    </r>
    <r>
      <rPr>
        <vertAlign val="superscript"/>
        <sz val="9"/>
        <color theme="1"/>
        <rFont val="휴먼명조"/>
        <charset val="129"/>
      </rPr>
      <t xml:space="preserve">d </t>
    </r>
    <r>
      <rPr>
        <sz val="9"/>
        <color theme="1"/>
        <rFont val="휴먼명조"/>
        <charset val="129"/>
      </rPr>
      <t xml:space="preserve">} ÷ 항목별 최종수요액 </t>
    </r>
    <phoneticPr fontId="1" type="noConversion"/>
  </si>
  <si>
    <r>
      <t xml:space="preserve">    2) 최종수요항목별 수입유발계수 = [ hat(A)</t>
    </r>
    <r>
      <rPr>
        <vertAlign val="superscript"/>
        <sz val="9"/>
        <color rgb="FF000000"/>
        <rFont val="휴먼명조"/>
        <charset val="129"/>
      </rPr>
      <t>m</t>
    </r>
    <r>
      <rPr>
        <sz val="9"/>
        <color rgb="FF000000"/>
        <rFont val="휴먼명조"/>
        <charset val="129"/>
      </rPr>
      <t xml:space="preserve"> {(I-A</t>
    </r>
    <r>
      <rPr>
        <vertAlign val="superscript"/>
        <sz val="9"/>
        <color theme="1"/>
        <rFont val="휴먼명조"/>
        <charset val="129"/>
      </rPr>
      <t>d</t>
    </r>
    <r>
      <rPr>
        <sz val="9"/>
        <color theme="1"/>
        <rFont val="휴먼명조"/>
        <charset val="129"/>
      </rPr>
      <t>)</t>
    </r>
    <r>
      <rPr>
        <vertAlign val="superscript"/>
        <sz val="9"/>
        <color theme="1"/>
        <rFont val="휴먼명조"/>
        <charset val="129"/>
      </rPr>
      <t xml:space="preserve">-1 </t>
    </r>
    <r>
      <rPr>
        <sz val="9"/>
        <color theme="1"/>
        <rFont val="휴먼명조"/>
        <charset val="129"/>
      </rPr>
      <t>Y</t>
    </r>
    <r>
      <rPr>
        <vertAlign val="superscript"/>
        <sz val="9"/>
        <color theme="1"/>
        <rFont val="휴먼명조"/>
        <charset val="129"/>
      </rPr>
      <t xml:space="preserve">d </t>
    </r>
    <r>
      <rPr>
        <sz val="9"/>
        <color theme="1"/>
        <rFont val="휴먼명조"/>
        <charset val="129"/>
      </rPr>
      <t>}+ Y</t>
    </r>
    <r>
      <rPr>
        <vertAlign val="superscript"/>
        <sz val="9"/>
        <color theme="1"/>
        <rFont val="휴먼명조"/>
        <charset val="129"/>
      </rPr>
      <t>m</t>
    </r>
    <r>
      <rPr>
        <sz val="9"/>
        <color theme="1"/>
        <rFont val="휴먼명조"/>
        <charset val="129"/>
      </rPr>
      <t xml:space="preserve"> ] ÷ 항목별 최종수요액 </t>
    </r>
    <phoneticPr fontId="1" type="noConversion"/>
  </si>
  <si>
    <t>산업별 총산출 및 구성</t>
    <phoneticPr fontId="1" type="noConversion"/>
  </si>
  <si>
    <t>산업별 부가가치 및 구성</t>
    <phoneticPr fontId="1" type="noConversion"/>
  </si>
  <si>
    <t>산업별 중간투입률</t>
    <phoneticPr fontId="1" type="noConversion"/>
  </si>
  <si>
    <t>산업별 국산화율</t>
    <phoneticPr fontId="1" type="noConversion"/>
  </si>
  <si>
    <t>산업별 수입투입률</t>
    <phoneticPr fontId="1" type="noConversion"/>
  </si>
  <si>
    <t>산업별 부가가치율</t>
    <phoneticPr fontId="1" type="noConversion"/>
  </si>
  <si>
    <t>민간소비지출 구성</t>
    <phoneticPr fontId="1" type="noConversion"/>
  </si>
  <si>
    <t>고정자본형성의 구성</t>
    <phoneticPr fontId="1" type="noConversion"/>
  </si>
  <si>
    <t>품목별 수출률 및 구성</t>
    <phoneticPr fontId="1" type="noConversion"/>
  </si>
  <si>
    <t>품목별 수입률 및 구성</t>
    <phoneticPr fontId="1" type="noConversion"/>
  </si>
  <si>
    <t>품목별 생산유발계수</t>
    <phoneticPr fontId="1" type="noConversion"/>
  </si>
  <si>
    <t>품목별 부가가치유발계수</t>
    <phoneticPr fontId="1" type="noConversion"/>
  </si>
  <si>
    <t>품목별 수입유발계수</t>
    <phoneticPr fontId="1" type="noConversion"/>
  </si>
  <si>
    <t>영향력계수 및 감응도계수 추이</t>
    <phoneticPr fontId="1" type="noConversion"/>
  </si>
  <si>
    <t>컴퓨터, 전자 및 광학기기</t>
    <phoneticPr fontId="1" type="noConversion"/>
  </si>
  <si>
    <t>제조임가공·산업용 장비 수리</t>
    <phoneticPr fontId="1" type="noConversion"/>
  </si>
  <si>
    <t>주: 1) 분류불명으로, 2010년도에는 분류불명 부문을 별도로 분류하지 않음</t>
    <phoneticPr fontId="1" type="noConversion"/>
  </si>
  <si>
    <t>2010년</t>
  </si>
  <si>
    <t>2015년</t>
    <phoneticPr fontId="1" type="noConversion"/>
  </si>
  <si>
    <t>구성비(C)</t>
    <phoneticPr fontId="1" type="noConversion"/>
  </si>
  <si>
    <r>
      <t>차이</t>
    </r>
    <r>
      <rPr>
        <sz val="8"/>
        <color rgb="FF000000"/>
        <rFont val="맑은 고딕"/>
        <family val="3"/>
        <charset val="129"/>
        <scheme val="minor"/>
      </rPr>
      <t>(B-A)</t>
    </r>
    <phoneticPr fontId="1" type="noConversion"/>
  </si>
  <si>
    <r>
      <t>차이</t>
    </r>
    <r>
      <rPr>
        <sz val="8"/>
        <color rgb="FF000000"/>
        <rFont val="맑은 고딕"/>
        <family val="3"/>
        <charset val="129"/>
        <scheme val="minor"/>
      </rPr>
      <t>(C-B)</t>
    </r>
    <phoneticPr fontId="1" type="noConversion"/>
  </si>
  <si>
    <t>구성비(B)</t>
    <phoneticPr fontId="1" type="noConversion"/>
  </si>
  <si>
    <t>구성비(D)</t>
    <phoneticPr fontId="1" type="noConversion"/>
  </si>
  <si>
    <t>수출률(A)</t>
    <phoneticPr fontId="1" type="noConversion"/>
  </si>
  <si>
    <t>구성비(B)</t>
    <phoneticPr fontId="1" type="noConversion"/>
  </si>
  <si>
    <t>수출률(C)</t>
    <phoneticPr fontId="1" type="noConversion"/>
  </si>
  <si>
    <t>구성비(D)</t>
    <phoneticPr fontId="1" type="noConversion"/>
  </si>
  <si>
    <t xml:space="preserve">    2) 각각의 통합거래표를 추출하여 도출. 1부문, 7부문, 13부문 거래표에서 얻어진 유발계수에 해당 </t>
    <phoneticPr fontId="1" type="noConversion"/>
  </si>
  <si>
    <r>
      <t>영향력계수</t>
    </r>
    <r>
      <rPr>
        <b/>
        <vertAlign val="superscript"/>
        <sz val="9"/>
        <color rgb="FF000000"/>
        <rFont val="맑은 고딕"/>
        <family val="3"/>
        <charset val="129"/>
        <scheme val="minor"/>
      </rPr>
      <t>3)</t>
    </r>
    <phoneticPr fontId="1" type="noConversion"/>
  </si>
  <si>
    <r>
      <t>감응도계수</t>
    </r>
    <r>
      <rPr>
        <b/>
        <vertAlign val="superscript"/>
        <sz val="9"/>
        <color rgb="FF000000"/>
        <rFont val="맑은 고딕"/>
        <family val="3"/>
        <charset val="129"/>
        <scheme val="minor"/>
      </rPr>
      <t>4)</t>
    </r>
    <phoneticPr fontId="1" type="noConversion"/>
  </si>
  <si>
    <r>
      <t>생산유발액(1조 원)</t>
    </r>
    <r>
      <rPr>
        <b/>
        <vertAlign val="superscript"/>
        <sz val="9"/>
        <color rgb="FF000000"/>
        <rFont val="맑은 고딕"/>
        <family val="3"/>
        <charset val="129"/>
        <scheme val="minor"/>
      </rPr>
      <t>1)</t>
    </r>
    <phoneticPr fontId="1" type="noConversion"/>
  </si>
  <si>
    <r>
      <t>생산유발계수</t>
    </r>
    <r>
      <rPr>
        <b/>
        <vertAlign val="superscript"/>
        <sz val="9"/>
        <color rgb="FF000000"/>
        <rFont val="맑은 고딕"/>
        <family val="3"/>
        <charset val="129"/>
        <scheme val="minor"/>
      </rPr>
      <t>2)</t>
    </r>
    <phoneticPr fontId="1" type="noConversion"/>
  </si>
  <si>
    <t>생산유발의존도(%)</t>
    <phoneticPr fontId="1" type="noConversion"/>
  </si>
  <si>
    <r>
      <t>부가가치유발액(1조 원)</t>
    </r>
    <r>
      <rPr>
        <b/>
        <vertAlign val="superscript"/>
        <sz val="9"/>
        <color rgb="FF000000"/>
        <rFont val="맑은 고딕"/>
        <family val="3"/>
        <charset val="129"/>
        <scheme val="minor"/>
      </rPr>
      <t>1)</t>
    </r>
    <phoneticPr fontId="1" type="noConversion"/>
  </si>
  <si>
    <r>
      <t>부가가치유발계수</t>
    </r>
    <r>
      <rPr>
        <b/>
        <vertAlign val="superscript"/>
        <sz val="9"/>
        <color rgb="FF000000"/>
        <rFont val="맑은 고딕"/>
        <family val="3"/>
        <charset val="129"/>
        <scheme val="minor"/>
      </rPr>
      <t>2)</t>
    </r>
    <phoneticPr fontId="1" type="noConversion"/>
  </si>
  <si>
    <r>
      <t>수입유발액(1조 원)</t>
    </r>
    <r>
      <rPr>
        <b/>
        <vertAlign val="superscript"/>
        <sz val="9"/>
        <color rgb="FF000000"/>
        <rFont val="맑은 고딕"/>
        <family val="3"/>
        <charset val="129"/>
        <scheme val="minor"/>
      </rPr>
      <t>1)</t>
    </r>
    <phoneticPr fontId="1" type="noConversion"/>
  </si>
  <si>
    <r>
      <t>수입유발계수</t>
    </r>
    <r>
      <rPr>
        <b/>
        <vertAlign val="superscript"/>
        <sz val="9"/>
        <color rgb="FF000000"/>
        <rFont val="맑은 고딕"/>
        <family val="3"/>
        <charset val="129"/>
        <scheme val="minor"/>
      </rPr>
      <t>2)</t>
    </r>
    <phoneticPr fontId="1" type="noConversion"/>
  </si>
  <si>
    <r>
      <t>수입유발액(1조 원)</t>
    </r>
    <r>
      <rPr>
        <b/>
        <vertAlign val="superscript"/>
        <sz val="9"/>
        <color rgb="FF000000"/>
        <rFont val="맑은 고딕"/>
        <family val="3"/>
        <charset val="129"/>
        <scheme val="minor"/>
      </rPr>
      <t>1)</t>
    </r>
    <phoneticPr fontId="1" type="noConversion"/>
  </si>
  <si>
    <r>
      <t>수입유발계수</t>
    </r>
    <r>
      <rPr>
        <b/>
        <vertAlign val="superscript"/>
        <sz val="9"/>
        <color rgb="FF000000"/>
        <rFont val="맑은 고딕"/>
        <family val="3"/>
        <charset val="129"/>
        <scheme val="minor"/>
      </rPr>
      <t>2)</t>
    </r>
    <phoneticPr fontId="1" type="noConversion"/>
  </si>
  <si>
    <t>생산유발의존도(%)</t>
    <phoneticPr fontId="1" type="noConversion"/>
  </si>
  <si>
    <r>
      <t>부가가치유발액(1조 원)</t>
    </r>
    <r>
      <rPr>
        <b/>
        <vertAlign val="superscript"/>
        <sz val="9"/>
        <color rgb="FF000000"/>
        <rFont val="맑은 고딕"/>
        <family val="3"/>
        <charset val="129"/>
        <scheme val="minor"/>
      </rPr>
      <t>1)</t>
    </r>
    <phoneticPr fontId="1" type="noConversion"/>
  </si>
  <si>
    <r>
      <t>부가가치유발계수</t>
    </r>
    <r>
      <rPr>
        <b/>
        <vertAlign val="superscript"/>
        <sz val="9"/>
        <color rgb="FF000000"/>
        <rFont val="맑은 고딕"/>
        <family val="3"/>
        <charset val="129"/>
        <scheme val="minor"/>
      </rPr>
      <t>2)</t>
    </r>
    <phoneticPr fontId="1" type="noConversion"/>
  </si>
  <si>
    <r>
      <t>생산유발액(1조 원)</t>
    </r>
    <r>
      <rPr>
        <b/>
        <vertAlign val="superscript"/>
        <sz val="9"/>
        <color rgb="FF000000"/>
        <rFont val="맑은 고딕"/>
        <family val="3"/>
        <charset val="129"/>
        <scheme val="minor"/>
      </rPr>
      <t>1)</t>
    </r>
    <phoneticPr fontId="1" type="noConversion"/>
  </si>
  <si>
    <r>
      <t>생산유발계수</t>
    </r>
    <r>
      <rPr>
        <b/>
        <vertAlign val="superscript"/>
        <sz val="9"/>
        <color rgb="FF000000"/>
        <rFont val="맑은 고딕"/>
        <family val="3"/>
        <charset val="129"/>
        <scheme val="minor"/>
      </rPr>
      <t>2)</t>
    </r>
    <phoneticPr fontId="1" type="noConversion"/>
  </si>
  <si>
    <t>소비</t>
    <phoneticPr fontId="1" type="noConversion"/>
  </si>
  <si>
    <t>(목차로 이동)</t>
    <phoneticPr fontId="1" type="noConversion"/>
  </si>
  <si>
    <t>1. 산업별 총산출 및 구성</t>
    <phoneticPr fontId="1" type="noConversion"/>
  </si>
  <si>
    <t>(단위: 조원, %, %p)</t>
    <phoneticPr fontId="1" type="noConversion"/>
  </si>
  <si>
    <t>B-A</t>
    <phoneticPr fontId="1" type="noConversion"/>
  </si>
  <si>
    <t>C-B</t>
    <phoneticPr fontId="1" type="noConversion"/>
  </si>
  <si>
    <t>조 립 가 공 제 품</t>
    <phoneticPr fontId="1" type="noConversion"/>
  </si>
  <si>
    <t>전력․가스․수도 및 폐기물</t>
    <phoneticPr fontId="1" type="noConversion"/>
  </si>
  <si>
    <r>
      <t xml:space="preserve">    2) 최종수요항목별 생산유발계수 = {(I-A</t>
    </r>
    <r>
      <rPr>
        <vertAlign val="superscript"/>
        <sz val="9"/>
        <color rgb="FF000000"/>
        <rFont val="휴먼명조"/>
        <charset val="129"/>
      </rPr>
      <t>d</t>
    </r>
    <r>
      <rPr>
        <sz val="9"/>
        <color rgb="FF000000"/>
        <rFont val="휴먼명조"/>
        <charset val="129"/>
      </rPr>
      <t>)</t>
    </r>
    <r>
      <rPr>
        <vertAlign val="superscript"/>
        <sz val="9"/>
        <color rgb="FF000000"/>
        <rFont val="휴먼명조"/>
        <charset val="129"/>
      </rPr>
      <t>-1</t>
    </r>
    <r>
      <rPr>
        <sz val="9"/>
        <color rgb="FF000000"/>
        <rFont val="휴먼명조"/>
        <charset val="129"/>
      </rPr>
      <t xml:space="preserve"> Y</t>
    </r>
    <r>
      <rPr>
        <vertAlign val="superscript"/>
        <sz val="9"/>
        <color rgb="FF000000"/>
        <rFont val="휴먼명조"/>
        <charset val="129"/>
      </rPr>
      <t>d</t>
    </r>
    <r>
      <rPr>
        <sz val="9"/>
        <color rgb="FF000000"/>
        <rFont val="휴먼명조"/>
        <charset val="129"/>
      </rPr>
      <t xml:space="preserve"> } ÷항목별 최종수요액 </t>
    </r>
    <phoneticPr fontId="1" type="noConversion"/>
  </si>
  <si>
    <t>(프린트용)최종수요 항목별 분석</t>
    <phoneticPr fontId="1" type="noConversion"/>
  </si>
  <si>
    <t>2010년</t>
    <phoneticPr fontId="1" type="noConversion"/>
  </si>
  <si>
    <t>2020년</t>
    <phoneticPr fontId="1" type="noConversion"/>
  </si>
  <si>
    <t>구성비(A)</t>
    <phoneticPr fontId="1" type="noConversion"/>
  </si>
  <si>
    <t>2015년</t>
    <phoneticPr fontId="1" type="noConversion"/>
  </si>
  <si>
    <t>2010년(A)</t>
    <phoneticPr fontId="1" type="noConversion"/>
  </si>
  <si>
    <t>2015년(B)</t>
    <phoneticPr fontId="1" type="noConversion"/>
  </si>
  <si>
    <t>2020년(C)</t>
    <phoneticPr fontId="1" type="noConversion"/>
  </si>
  <si>
    <t>2010년</t>
    <phoneticPr fontId="1" type="noConversion"/>
  </si>
  <si>
    <t>2015년</t>
    <phoneticPr fontId="1" type="noConversion"/>
  </si>
  <si>
    <t xml:space="preserve">공산품 </t>
  </si>
  <si>
    <t>내구재</t>
  </si>
  <si>
    <t xml:space="preserve">비내구재 </t>
  </si>
  <si>
    <r>
      <t>목재및종이</t>
    </r>
    <r>
      <rPr>
        <sz val="9"/>
        <color rgb="FF000000"/>
        <rFont val="HCI Poppy"/>
        <family val="2"/>
      </rPr>
      <t>·</t>
    </r>
    <r>
      <rPr>
        <sz val="9"/>
        <color rgb="FF000000"/>
        <rFont val="휴먼명조"/>
        <family val="3"/>
        <charset val="129"/>
      </rPr>
      <t xml:space="preserve">인쇄 </t>
    </r>
  </si>
  <si>
    <r>
      <t>1</t>
    </r>
    <r>
      <rPr>
        <sz val="9"/>
        <color rgb="FF000000"/>
        <rFont val="휴먼명조"/>
        <family val="3"/>
        <charset val="129"/>
      </rPr>
      <t xml:space="preserve">차금속제품 </t>
    </r>
  </si>
  <si>
    <t>제조임가공·산업용 장비 수리</t>
  </si>
  <si>
    <t xml:space="preserve">서비스 </t>
  </si>
  <si>
    <t>교육서비스</t>
  </si>
  <si>
    <t>보건 및 사회복지 서비스</t>
  </si>
  <si>
    <t>기타</t>
  </si>
  <si>
    <t xml:space="preserve">농림수산품 </t>
  </si>
  <si>
    <t xml:space="preserve">광산품 </t>
  </si>
  <si>
    <r>
      <t>전력</t>
    </r>
    <r>
      <rPr>
        <sz val="9"/>
        <color rgb="FF000000"/>
        <rFont val="HCI Poppy"/>
        <family val="2"/>
      </rPr>
      <t>·</t>
    </r>
    <r>
      <rPr>
        <sz val="9"/>
        <color rgb="FF000000"/>
        <rFont val="휴먼명조"/>
        <family val="3"/>
        <charset val="129"/>
      </rPr>
      <t>가스</t>
    </r>
    <r>
      <rPr>
        <sz val="13"/>
        <color rgb="FF000000"/>
        <rFont val="맑은 고딕"/>
        <family val="3"/>
        <charset val="129"/>
        <scheme val="minor"/>
      </rPr>
      <t>·</t>
    </r>
    <r>
      <rPr>
        <sz val="9"/>
        <color rgb="FF000000"/>
        <rFont val="휴먼명조"/>
        <family val="3"/>
        <charset val="129"/>
      </rPr>
      <t xml:space="preserve">증기 </t>
    </r>
  </si>
  <si>
    <t>수도, 폐기물처리 및 재활용서비스</t>
  </si>
  <si>
    <t>합계</t>
  </si>
  <si>
    <r>
      <t>전문</t>
    </r>
    <r>
      <rPr>
        <sz val="9"/>
        <color rgb="FF000000"/>
        <rFont val="HCI Poppy"/>
        <family val="2"/>
      </rPr>
      <t>·</t>
    </r>
    <r>
      <rPr>
        <sz val="9"/>
        <color rgb="FF000000"/>
        <rFont val="휴먼명조"/>
        <family val="3"/>
        <charset val="129"/>
      </rPr>
      <t xml:space="preserve">과학및기술서비스 </t>
    </r>
  </si>
  <si>
    <t xml:space="preserve">정보통신및방송서비스 </t>
  </si>
  <si>
    <t>지식재산생산물투자</t>
    <phoneticPr fontId="1" type="noConversion"/>
  </si>
  <si>
    <t xml:space="preserve">건설투자 </t>
  </si>
  <si>
    <t>섬유및가죽제품</t>
  </si>
  <si>
    <t xml:space="preserve">설비투자 </t>
  </si>
  <si>
    <t>구성비(A)</t>
    <phoneticPr fontId="1" type="noConversion"/>
  </si>
  <si>
    <t>구성비(B)</t>
    <phoneticPr fontId="1" type="noConversion"/>
  </si>
  <si>
    <r>
      <t>전 산 업</t>
    </r>
    <r>
      <rPr>
        <b/>
        <vertAlign val="superscript"/>
        <sz val="9"/>
        <color rgb="FF000000"/>
        <rFont val="휴먼명조"/>
        <charset val="129"/>
      </rPr>
      <t>2)</t>
    </r>
    <phoneticPr fontId="1" type="noConversion"/>
  </si>
  <si>
    <r>
      <t xml:space="preserve">       Y</t>
    </r>
    <r>
      <rPr>
        <vertAlign val="superscript"/>
        <sz val="9"/>
        <color theme="1"/>
        <rFont val="휴먼명조"/>
        <charset val="129"/>
      </rPr>
      <t>d</t>
    </r>
    <r>
      <rPr>
        <sz val="9"/>
        <color theme="1"/>
        <rFont val="휴먼명조"/>
        <charset val="129"/>
      </rPr>
      <t>는 국내최종 수요(소비,투자,수출)벡터에 해당.</t>
    </r>
    <phoneticPr fontId="1" type="noConversion"/>
  </si>
  <si>
    <r>
      <t xml:space="preserve">       단,  hat(A)</t>
    </r>
    <r>
      <rPr>
        <vertAlign val="superscript"/>
        <sz val="9"/>
        <color theme="1"/>
        <rFont val="휴먼명조"/>
        <charset val="129"/>
      </rPr>
      <t>v</t>
    </r>
    <r>
      <rPr>
        <sz val="9"/>
        <color theme="1"/>
        <rFont val="휴먼명조"/>
        <charset val="129"/>
      </rPr>
      <t xml:space="preserve"> 는 33부문 부가가치투입계수 대각행렬, A</t>
    </r>
    <r>
      <rPr>
        <vertAlign val="superscript"/>
        <sz val="9"/>
        <color theme="1"/>
        <rFont val="휴먼명조"/>
        <charset val="129"/>
      </rPr>
      <t>d</t>
    </r>
    <r>
      <rPr>
        <sz val="9"/>
        <color theme="1"/>
        <rFont val="휴먼명조"/>
        <charset val="129"/>
      </rPr>
      <t xml:space="preserve"> 는 33부문 국산투입계수행렬, (I-A</t>
    </r>
    <r>
      <rPr>
        <vertAlign val="superscript"/>
        <sz val="9"/>
        <color theme="1"/>
        <rFont val="휴먼명조"/>
        <charset val="129"/>
      </rPr>
      <t>d</t>
    </r>
    <r>
      <rPr>
        <sz val="9"/>
        <color theme="1"/>
        <rFont val="휴먼명조"/>
        <charset val="129"/>
      </rPr>
      <t>)</t>
    </r>
    <r>
      <rPr>
        <vertAlign val="superscript"/>
        <sz val="9"/>
        <color theme="1"/>
        <rFont val="휴먼명조"/>
        <charset val="129"/>
      </rPr>
      <t>-1</t>
    </r>
    <r>
      <rPr>
        <sz val="9"/>
        <color theme="1"/>
        <rFont val="휴먼명조"/>
        <charset val="129"/>
      </rPr>
      <t xml:space="preserve"> 는 33부문으로 계산한 생산유발계수행렬,</t>
    </r>
    <phoneticPr fontId="1" type="noConversion"/>
  </si>
  <si>
    <r>
      <t xml:space="preserve">       Y</t>
    </r>
    <r>
      <rPr>
        <vertAlign val="superscript"/>
        <sz val="9"/>
        <color rgb="FF000000"/>
        <rFont val="휴먼명조"/>
        <family val="3"/>
        <charset val="129"/>
      </rPr>
      <t>d</t>
    </r>
    <r>
      <rPr>
        <sz val="9"/>
        <color rgb="FF000000"/>
        <rFont val="휴먼명조"/>
        <charset val="129"/>
      </rPr>
      <t>는 국내최종 수요(소비,투자,수출)벡터, Y</t>
    </r>
    <r>
      <rPr>
        <vertAlign val="superscript"/>
        <sz val="9"/>
        <color rgb="FF000000"/>
        <rFont val="휴먼명조"/>
        <charset val="129"/>
      </rPr>
      <t>m</t>
    </r>
    <r>
      <rPr>
        <sz val="9"/>
        <color rgb="FF000000"/>
        <rFont val="휴먼명조"/>
        <charset val="129"/>
      </rPr>
      <t>은 수입최종수요(소비,투자,수출)벡터에 해당.</t>
    </r>
    <phoneticPr fontId="1" type="noConversion"/>
  </si>
  <si>
    <r>
      <t xml:space="preserve">       단,  hat(A)</t>
    </r>
    <r>
      <rPr>
        <vertAlign val="superscript"/>
        <sz val="9"/>
        <color theme="1"/>
        <rFont val="휴먼명조"/>
        <family val="3"/>
        <charset val="129"/>
      </rPr>
      <t>m</t>
    </r>
    <r>
      <rPr>
        <sz val="9"/>
        <color theme="1"/>
        <rFont val="휴먼명조"/>
        <family val="3"/>
        <charset val="129"/>
      </rPr>
      <t xml:space="preserve"> 는 33부문 수입투입계수행렬, A</t>
    </r>
    <r>
      <rPr>
        <vertAlign val="superscript"/>
        <sz val="9"/>
        <color theme="1"/>
        <rFont val="휴먼명조"/>
        <family val="3"/>
        <charset val="129"/>
      </rPr>
      <t>d</t>
    </r>
    <r>
      <rPr>
        <sz val="9"/>
        <color theme="1"/>
        <rFont val="휴먼명조"/>
        <family val="3"/>
        <charset val="129"/>
      </rPr>
      <t xml:space="preserve"> 는 33부문 국산투입계수행렬, (I-A</t>
    </r>
    <r>
      <rPr>
        <vertAlign val="superscript"/>
        <sz val="9"/>
        <color theme="1"/>
        <rFont val="휴먼명조"/>
        <family val="3"/>
        <charset val="129"/>
      </rPr>
      <t>d</t>
    </r>
    <r>
      <rPr>
        <sz val="9"/>
        <color theme="1"/>
        <rFont val="휴먼명조"/>
        <family val="3"/>
        <charset val="129"/>
      </rPr>
      <t>)</t>
    </r>
    <r>
      <rPr>
        <vertAlign val="superscript"/>
        <sz val="9"/>
        <color theme="1"/>
        <rFont val="휴먼명조"/>
        <family val="3"/>
        <charset val="129"/>
      </rPr>
      <t>-1</t>
    </r>
    <r>
      <rPr>
        <sz val="9"/>
        <color theme="1"/>
        <rFont val="휴먼명조"/>
        <family val="3"/>
        <charset val="129"/>
      </rPr>
      <t xml:space="preserve"> 는 33부문으로 계산한 생산유발계수행렬,</t>
    </r>
    <phoneticPr fontId="1" type="noConversion"/>
  </si>
  <si>
    <r>
      <t>주: 1) 최종수요항목별 부가가치유발액 = hat(A)</t>
    </r>
    <r>
      <rPr>
        <vertAlign val="superscript"/>
        <sz val="9"/>
        <color rgb="FF000000"/>
        <rFont val="휴먼명조"/>
        <family val="3"/>
        <charset val="129"/>
      </rPr>
      <t xml:space="preserve">v </t>
    </r>
    <r>
      <rPr>
        <sz val="9"/>
        <color rgb="FF000000"/>
        <rFont val="휴먼명조"/>
        <family val="3"/>
        <charset val="129"/>
      </rPr>
      <t>(I-A</t>
    </r>
    <r>
      <rPr>
        <vertAlign val="superscript"/>
        <sz val="9"/>
        <color theme="1"/>
        <rFont val="휴먼명조"/>
        <family val="3"/>
        <charset val="129"/>
      </rPr>
      <t>d</t>
    </r>
    <r>
      <rPr>
        <sz val="9"/>
        <color theme="1"/>
        <rFont val="휴먼명조"/>
        <family val="3"/>
        <charset val="129"/>
      </rPr>
      <t>)</t>
    </r>
    <r>
      <rPr>
        <vertAlign val="superscript"/>
        <sz val="9"/>
        <color theme="1"/>
        <rFont val="휴먼명조"/>
        <family val="3"/>
        <charset val="129"/>
      </rPr>
      <t xml:space="preserve">-1 </t>
    </r>
    <r>
      <rPr>
        <sz val="9"/>
        <color theme="1"/>
        <rFont val="휴먼명조"/>
        <family val="3"/>
        <charset val="129"/>
      </rPr>
      <t>Y</t>
    </r>
    <r>
      <rPr>
        <vertAlign val="superscript"/>
        <sz val="9"/>
        <color theme="1"/>
        <rFont val="휴먼명조"/>
        <family val="3"/>
        <charset val="129"/>
      </rPr>
      <t>d</t>
    </r>
    <r>
      <rPr>
        <sz val="9"/>
        <color theme="1"/>
        <rFont val="휴먼명조"/>
        <family val="3"/>
        <charset val="129"/>
      </rPr>
      <t xml:space="preserve"> </t>
    </r>
    <phoneticPr fontId="1" type="noConversion"/>
  </si>
  <si>
    <r>
      <t xml:space="preserve">    2) 최종수요항목별 생산유발계수 = hat(A)</t>
    </r>
    <r>
      <rPr>
        <vertAlign val="superscript"/>
        <sz val="9"/>
        <color rgb="FF000000"/>
        <rFont val="휴먼명조"/>
        <family val="3"/>
        <charset val="129"/>
      </rPr>
      <t>v</t>
    </r>
    <r>
      <rPr>
        <sz val="9"/>
        <color rgb="FF000000"/>
        <rFont val="휴먼명조"/>
        <family val="3"/>
        <charset val="129"/>
      </rPr>
      <t xml:space="preserve"> {(I-A</t>
    </r>
    <r>
      <rPr>
        <vertAlign val="superscript"/>
        <sz val="9"/>
        <color theme="1"/>
        <rFont val="휴먼명조"/>
        <family val="3"/>
        <charset val="129"/>
      </rPr>
      <t>d</t>
    </r>
    <r>
      <rPr>
        <sz val="9"/>
        <color theme="1"/>
        <rFont val="휴먼명조"/>
        <family val="3"/>
        <charset val="129"/>
      </rPr>
      <t>)</t>
    </r>
    <r>
      <rPr>
        <vertAlign val="superscript"/>
        <sz val="9"/>
        <color theme="1"/>
        <rFont val="휴먼명조"/>
        <family val="3"/>
        <charset val="129"/>
      </rPr>
      <t xml:space="preserve">-1 </t>
    </r>
    <r>
      <rPr>
        <sz val="9"/>
        <color theme="1"/>
        <rFont val="휴먼명조"/>
        <family val="3"/>
        <charset val="129"/>
      </rPr>
      <t>Y</t>
    </r>
    <r>
      <rPr>
        <vertAlign val="superscript"/>
        <sz val="9"/>
        <color theme="1"/>
        <rFont val="휴먼명조"/>
        <family val="3"/>
        <charset val="129"/>
      </rPr>
      <t xml:space="preserve">d </t>
    </r>
    <r>
      <rPr>
        <sz val="9"/>
        <color theme="1"/>
        <rFont val="휴먼명조"/>
        <family val="3"/>
        <charset val="129"/>
      </rPr>
      <t xml:space="preserve">} ÷ 항목별 최종수요액 </t>
    </r>
    <phoneticPr fontId="1" type="noConversion"/>
  </si>
  <si>
    <r>
      <t xml:space="preserve">       단,  hat(A)</t>
    </r>
    <r>
      <rPr>
        <vertAlign val="superscript"/>
        <sz val="9"/>
        <color theme="1"/>
        <rFont val="휴먼명조"/>
        <family val="3"/>
        <charset val="129"/>
      </rPr>
      <t>v</t>
    </r>
    <r>
      <rPr>
        <sz val="9"/>
        <color theme="1"/>
        <rFont val="휴먼명조"/>
        <family val="3"/>
        <charset val="129"/>
      </rPr>
      <t xml:space="preserve"> 는 33부문 부가가치투입계수 대각행렬, A</t>
    </r>
    <r>
      <rPr>
        <vertAlign val="superscript"/>
        <sz val="9"/>
        <color theme="1"/>
        <rFont val="휴먼명조"/>
        <family val="3"/>
        <charset val="129"/>
      </rPr>
      <t>d</t>
    </r>
    <r>
      <rPr>
        <sz val="9"/>
        <color theme="1"/>
        <rFont val="휴먼명조"/>
        <family val="3"/>
        <charset val="129"/>
      </rPr>
      <t xml:space="preserve"> 는 33부문 국산투입계수행렬, (I-A</t>
    </r>
    <r>
      <rPr>
        <vertAlign val="superscript"/>
        <sz val="9"/>
        <color theme="1"/>
        <rFont val="휴먼명조"/>
        <family val="3"/>
        <charset val="129"/>
      </rPr>
      <t>d</t>
    </r>
    <r>
      <rPr>
        <sz val="9"/>
        <color theme="1"/>
        <rFont val="휴먼명조"/>
        <family val="3"/>
        <charset val="129"/>
      </rPr>
      <t>)</t>
    </r>
    <r>
      <rPr>
        <vertAlign val="superscript"/>
        <sz val="9"/>
        <color theme="1"/>
        <rFont val="휴먼명조"/>
        <family val="3"/>
        <charset val="129"/>
      </rPr>
      <t>-1</t>
    </r>
    <r>
      <rPr>
        <sz val="9"/>
        <color theme="1"/>
        <rFont val="휴먼명조"/>
        <family val="3"/>
        <charset val="129"/>
      </rPr>
      <t xml:space="preserve"> 는 33부문으로 계산한 생산유발계수행렬,</t>
    </r>
    <phoneticPr fontId="1" type="noConversion"/>
  </si>
  <si>
    <r>
      <t xml:space="preserve">       Y</t>
    </r>
    <r>
      <rPr>
        <vertAlign val="superscript"/>
        <sz val="9"/>
        <color theme="1"/>
        <rFont val="휴먼명조"/>
        <family val="3"/>
        <charset val="129"/>
      </rPr>
      <t>d</t>
    </r>
    <r>
      <rPr>
        <sz val="9"/>
        <color theme="1"/>
        <rFont val="휴먼명조"/>
        <family val="3"/>
        <charset val="129"/>
      </rPr>
      <t>는 국내최종 수요(소비,투자,수출)벡터에 해당.</t>
    </r>
    <phoneticPr fontId="1" type="noConversion"/>
  </si>
  <si>
    <t>7. 민간소비지출의 구성</t>
    <phoneticPr fontId="1" type="noConversion"/>
  </si>
  <si>
    <t>기타</t>
    <phoneticPr fontId="1" type="noConversion"/>
  </si>
  <si>
    <t xml:space="preserve">       후방연쇄효과의 정도를 전산업 (산술)평균에 대한 상대적 크기를 나타낸 계수</t>
    <phoneticPr fontId="1" type="noConversion"/>
  </si>
  <si>
    <t xml:space="preserve">    3) 영향력계수는 한 산업부문의 생산물에 대한 최종수요가 한 단위 증가하였을 때 전 산업부문에 미치는 </t>
    <phoneticPr fontId="1" type="noConversion"/>
  </si>
  <si>
    <t xml:space="preserve">       전방연쇄효과의 정도를 전산업 (산술)평균에 대한 상대적 크기로 나타낸 계수</t>
    <phoneticPr fontId="1" type="noConversion"/>
  </si>
  <si>
    <t xml:space="preserve">    4) 감응도계수는 모든 산업부문의 생산물에 대한 최종수요가 각각 한 단위씩 증가하였을 때 어떤 산업이 받게되는 </t>
    <phoneticPr fontId="1" type="noConversion"/>
  </si>
  <si>
    <t>주 : 1) 위 분류를 제외한 모든 공산품</t>
    <phoneticPr fontId="1" type="noConversion"/>
  </si>
  <si>
    <t>8. 고정자본형성의 형태별 구성</t>
    <phoneticPr fontId="1" type="noConversion"/>
  </si>
  <si>
    <r>
      <t>기타제조업제품</t>
    </r>
    <r>
      <rPr>
        <vertAlign val="superscript"/>
        <sz val="9"/>
        <color rgb="FF000000"/>
        <rFont val="휴먼명조"/>
        <charset val="129"/>
      </rPr>
      <t>1)</t>
    </r>
    <phoneticPr fontId="1" type="noConversion"/>
  </si>
  <si>
    <r>
      <rPr>
        <sz val="8"/>
        <color rgb="FF000000"/>
        <rFont val="휴먼명조"/>
        <charset val="129"/>
      </rPr>
      <t xml:space="preserve">   </t>
    </r>
    <r>
      <rPr>
        <sz val="9"/>
        <color rgb="FF000000"/>
        <rFont val="휴먼명조"/>
        <charset val="129"/>
      </rPr>
      <t xml:space="preserve">  2) 육성자산, 부동산 개발 및 공급, 소유권 이전 비용(도소매 및 운송, 부동산거래 비용) 등</t>
    </r>
    <phoneticPr fontId="1" type="noConversion"/>
  </si>
  <si>
    <t>주: 1) 각각의 통합거래표를 추출하여 도출. 1부문, 7부문, 13부문 거래표에서 얻어진 부가가치율</t>
    <phoneticPr fontId="1" type="noConversion"/>
  </si>
  <si>
    <t>주: 1) 잔폐물 발생액 포함</t>
    <phoneticPr fontId="1" type="noConversion"/>
  </si>
  <si>
    <t>주: 1) 잔폐물 발생액 포함</t>
    <phoneticPr fontId="1" type="noConversion"/>
  </si>
  <si>
    <t>주: 1) 잔폐물 발생액 포함,</t>
    <phoneticPr fontId="1" type="noConversion"/>
  </si>
  <si>
    <t>주) 2010년표는 2015-2010 연결표(경상)를 이용하였음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</si>
</sst>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-* #,##0_-;\-* #,##0_-;_-* &quot;-&quot;_-;_-@_-"/>
    <numFmt numFmtId="176" formatCode="0.000_ "/>
    <numFmt numFmtId="177" formatCode="0.000_);[Red]\(0.000\)"/>
    <numFmt numFmtId="178" formatCode="\(###0.0\);\(\-###0.0\)"/>
    <numFmt numFmtId="179" formatCode="0.0_ "/>
    <numFmt numFmtId="180" formatCode="#,##0.0_ "/>
    <numFmt numFmtId="181" formatCode="0.000000000000_);\(0.000000000000\)"/>
    <numFmt numFmtId="182" formatCode="_-* #,##0.0_-;\-* #,##0.0_-;_-* &quot;-&quot;_-;_-@_-"/>
    <numFmt numFmtId="183" formatCode="0.00000000000000_);\(0.00000000000000\)"/>
  </numFmts>
  <fonts count="49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rgb="FF00000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sz val="9"/>
      <color rgb="FF000000"/>
      <name val="HCI Poppy"/>
      <family val="2"/>
    </font>
    <font>
      <sz val="9"/>
      <color rgb="FF000000"/>
      <name val="휴먼명조"/>
      <charset val="129"/>
    </font>
    <font>
      <b/>
      <sz val="9"/>
      <color rgb="FF000000"/>
      <name val="휴먼명조"/>
      <charset val="129"/>
    </font>
    <font>
      <b/>
      <vertAlign val="superscript"/>
      <sz val="9"/>
      <color rgb="FF000000"/>
      <name val="HCI Poppy"/>
      <family val="2"/>
    </font>
    <font>
      <sz val="13"/>
      <color rgb="FF000000"/>
      <name val="맑은 고딕"/>
      <family val="3"/>
      <charset val="129"/>
      <scheme val="minor"/>
    </font>
    <font>
      <b/>
      <vertAlign val="superscript"/>
      <sz val="9"/>
      <color rgb="FF000000"/>
      <name val="휴먼명조"/>
      <charset val="129"/>
    </font>
    <font>
      <b/>
      <sz val="12"/>
      <color rgb="FF000000"/>
      <name val="휴먼명조"/>
      <charset val="129"/>
    </font>
    <font>
      <sz val="11"/>
      <color rgb="FFFF0000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b/>
      <sz val="14"/>
      <color rgb="FF000000"/>
      <name val="휴먼명조"/>
      <charset val="129"/>
    </font>
    <font>
      <b/>
      <sz val="14"/>
      <color rgb="FF000000"/>
      <name val="휴먼명조"/>
      <family val="3"/>
      <charset val="129"/>
    </font>
    <font>
      <sz val="9"/>
      <color rgb="FF000000"/>
      <name val="휴먼명조"/>
      <family val="3"/>
      <charset val="129"/>
    </font>
    <font>
      <b/>
      <sz val="9"/>
      <color rgb="FF000000"/>
      <name val="휴먼명조"/>
      <family val="3"/>
      <charset val="129"/>
    </font>
    <font>
      <b/>
      <sz val="9"/>
      <color rgb="FF000000"/>
      <name val="궁서"/>
      <family val="1"/>
      <charset val="129"/>
    </font>
    <font>
      <sz val="9"/>
      <color rgb="FF000000"/>
      <name val="궁서"/>
      <family val="1"/>
      <charset val="129"/>
    </font>
    <font>
      <sz val="9"/>
      <color indexed="8"/>
      <name val="궁서"/>
      <family val="1"/>
      <charset val="129"/>
    </font>
    <font>
      <sz val="11"/>
      <color theme="1"/>
      <name val="맑은 고딕"/>
      <family val="2"/>
      <charset val="129"/>
      <scheme val="minor"/>
    </font>
    <font>
      <b/>
      <vertAlign val="superscript"/>
      <sz val="14"/>
      <color rgb="FF000000"/>
      <name val="휴먼명조"/>
      <charset val="129"/>
    </font>
    <font>
      <b/>
      <sz val="9"/>
      <color rgb="FF000000"/>
      <name val="궁서체"/>
      <family val="1"/>
      <charset val="129"/>
    </font>
    <font>
      <sz val="9"/>
      <color rgb="FF000000"/>
      <name val="궁서체"/>
      <family val="1"/>
      <charset val="129"/>
    </font>
    <font>
      <u/>
      <sz val="11"/>
      <color theme="1"/>
      <name val="맑은 고딕"/>
      <family val="2"/>
      <charset val="129"/>
      <scheme val="minor"/>
    </font>
    <font>
      <u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0"/>
      <name val="휴먼명조"/>
      <family val="3"/>
      <charset val="129"/>
    </font>
    <font>
      <sz val="8"/>
      <name val="MS Sans Serif"/>
      <family val="2"/>
    </font>
    <font>
      <vertAlign val="superscript"/>
      <sz val="9"/>
      <color theme="1"/>
      <name val="휴먼명조"/>
      <charset val="129"/>
    </font>
    <font>
      <sz val="9"/>
      <color theme="1"/>
      <name val="휴먼명조"/>
      <charset val="129"/>
    </font>
    <font>
      <vertAlign val="superscript"/>
      <sz val="9"/>
      <color rgb="FF000000"/>
      <name val="휴먼명조"/>
      <charset val="129"/>
    </font>
    <font>
      <sz val="9"/>
      <color theme="1"/>
      <name val="궁서"/>
      <family val="1"/>
      <charset val="129"/>
    </font>
    <font>
      <b/>
      <sz val="11"/>
      <color theme="1"/>
      <name val="맑은 고딕"/>
      <family val="2"/>
      <charset val="129"/>
      <scheme val="minor"/>
    </font>
    <font>
      <b/>
      <sz val="9"/>
      <color indexed="8"/>
      <name val="궁서"/>
      <family val="1"/>
      <charset val="129"/>
    </font>
    <font>
      <b/>
      <sz val="9"/>
      <color theme="1"/>
      <name val="궁서"/>
      <family val="1"/>
      <charset val="129"/>
    </font>
    <font>
      <b/>
      <sz val="14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8"/>
      <color rgb="FF000000"/>
      <name val="맑은 고딕"/>
      <family val="3"/>
      <charset val="129"/>
      <scheme val="minor"/>
    </font>
    <font>
      <b/>
      <vertAlign val="superscript"/>
      <sz val="9"/>
      <color rgb="FF000000"/>
      <name val="맑은 고딕"/>
      <family val="3"/>
      <charset val="129"/>
      <scheme val="minor"/>
    </font>
    <font>
      <sz val="11"/>
      <color theme="1"/>
      <name val="궁서"/>
      <family val="1"/>
      <charset val="129"/>
    </font>
    <font>
      <sz val="9"/>
      <color rgb="FFFF0000"/>
      <name val="휴먼명조"/>
      <charset val="129"/>
    </font>
    <font>
      <vertAlign val="superscript"/>
      <sz val="9"/>
      <color rgb="FF000000"/>
      <name val="휴먼명조"/>
      <family val="3"/>
      <charset val="129"/>
    </font>
    <font>
      <u/>
      <sz val="11"/>
      <name val="맑은 고딕"/>
      <family val="2"/>
      <charset val="129"/>
      <scheme val="minor"/>
    </font>
    <font>
      <sz val="9"/>
      <color theme="1"/>
      <name val="휴먼명조"/>
      <family val="3"/>
      <charset val="129"/>
    </font>
    <font>
      <vertAlign val="superscript"/>
      <sz val="9"/>
      <color theme="1"/>
      <name val="휴먼명조"/>
      <family val="3"/>
      <charset val="129"/>
    </font>
    <font>
      <sz val="8"/>
      <color rgb="FF000000"/>
      <name val="휴먼명조"/>
      <charset val="129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2">
    <border>
      <left/>
      <right/>
      <top/>
      <bottom/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/>
      <diagonal/>
    </border>
    <border>
      <left/>
      <right/>
      <top style="thin">
        <color rgb="FF000000"/>
      </top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/>
      <top style="thick">
        <color rgb="FF000000"/>
      </top>
      <bottom style="thin">
        <color rgb="FF000000"/>
      </bottom>
      <diagonal/>
    </border>
    <border>
      <left/>
      <right/>
      <top/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/>
      <top style="thick">
        <color auto="1"/>
      </top>
      <bottom style="thin">
        <color rgb="FF000000"/>
      </bottom>
      <diagonal/>
    </border>
    <border>
      <left/>
      <right/>
      <top style="thin">
        <color rgb="FF000000"/>
      </top>
      <bottom style="thick">
        <color indexed="64"/>
      </bottom>
      <diagonal/>
    </border>
  </borders>
  <cellStyleXfs count="6">
    <xf numFmtId="0" fontId="0" fillId="0" borderId="0">
      <alignment vertical="center"/>
    </xf>
    <xf numFmtId="0" fontId="12" fillId="0" borderId="0" applyNumberForma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12" fillId="0" borderId="0" applyNumberForma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</cellStyleXfs>
  <cellXfs count="309">
    <xf numFmtId="0" fontId="0" fillId="0" borderId="0" xfId="0">
      <alignment vertical="center"/>
    </xf>
    <xf numFmtId="0" fontId="2" fillId="0" borderId="0" xfId="0" applyFont="1" applyAlignment="1">
      <alignment horizontal="center" vertical="center" wrapText="1"/>
    </xf>
    <xf numFmtId="0" fontId="2" fillId="0" borderId="2" xfId="0" applyFont="1" applyBorder="1" applyAlignment="1">
      <alignment horizontal="justify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0" xfId="0" applyFont="1" applyAlignment="1">
      <alignment horizontal="justify" vertical="center" wrapText="1"/>
    </xf>
    <xf numFmtId="0" fontId="3" fillId="0" borderId="0" xfId="0" applyFont="1" applyAlignment="1">
      <alignment horizontal="justify" vertical="center" wrapText="1"/>
    </xf>
    <xf numFmtId="0" fontId="3" fillId="0" borderId="4" xfId="0" applyFont="1" applyBorder="1" applyAlignment="1">
      <alignment horizontal="justify" vertical="center" wrapText="1"/>
    </xf>
    <xf numFmtId="0" fontId="0" fillId="0" borderId="0" xfId="0" applyAlignment="1">
      <alignment horizontal="distributed" vertical="center"/>
    </xf>
    <xf numFmtId="0" fontId="0" fillId="0" borderId="0" xfId="0" applyAlignment="1">
      <alignment horizontal="distributed" vertical="distributed"/>
    </xf>
    <xf numFmtId="0" fontId="3" fillId="0" borderId="0" xfId="0" applyFont="1" applyAlignment="1">
      <alignment horizontal="distributed" vertical="distributed" wrapText="1"/>
    </xf>
    <xf numFmtId="0" fontId="0" fillId="0" borderId="0" xfId="0" applyBorder="1">
      <alignment vertical="center"/>
    </xf>
    <xf numFmtId="0" fontId="5" fillId="0" borderId="0" xfId="0" applyFont="1" applyFill="1" applyAlignment="1">
      <alignment horizontal="distributed" vertical="distributed" wrapText="1"/>
    </xf>
    <xf numFmtId="0" fontId="5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Fill="1" applyBorder="1">
      <alignment vertical="center"/>
    </xf>
    <xf numFmtId="0" fontId="0" fillId="0" borderId="0" xfId="0" applyFill="1" applyBorder="1" applyAlignment="1">
      <alignment horizontal="distributed" vertical="center"/>
    </xf>
    <xf numFmtId="0" fontId="5" fillId="0" borderId="0" xfId="0" applyFont="1" applyFill="1" applyBorder="1" applyAlignment="1">
      <alignment horizontal="center" vertical="center" wrapText="1"/>
    </xf>
    <xf numFmtId="0" fontId="0" fillId="0" borderId="7" xfId="0" applyFill="1" applyBorder="1" applyAlignment="1">
      <alignment horizontal="distributed" vertical="center"/>
    </xf>
    <xf numFmtId="0" fontId="5" fillId="0" borderId="0" xfId="0" applyFont="1" applyFill="1" applyBorder="1" applyAlignment="1">
      <alignment horizontal="distributed" vertical="distributed" wrapText="1"/>
    </xf>
    <xf numFmtId="0" fontId="4" fillId="0" borderId="0" xfId="0" applyFont="1" applyFill="1" applyBorder="1" applyAlignment="1">
      <alignment horizontal="distributed" vertical="distributed" wrapText="1"/>
    </xf>
    <xf numFmtId="0" fontId="9" fillId="0" borderId="0" xfId="0" applyFont="1" applyFill="1" applyBorder="1" applyAlignment="1">
      <alignment horizontal="distributed" vertical="distributed" wrapText="1"/>
    </xf>
    <xf numFmtId="0" fontId="9" fillId="0" borderId="0" xfId="0" applyFont="1" applyFill="1" applyBorder="1" applyAlignment="1">
      <alignment horizontal="distributed" vertical="distributed" wrapText="1" justifyLastLine="1"/>
    </xf>
    <xf numFmtId="0" fontId="6" fillId="0" borderId="6" xfId="0" applyFont="1" applyFill="1" applyBorder="1" applyAlignment="1">
      <alignment horizontal="distributed" vertical="distributed" wrapText="1" justifyLastLine="1"/>
    </xf>
    <xf numFmtId="0" fontId="0" fillId="0" borderId="0" xfId="0" applyFill="1">
      <alignment vertical="center"/>
    </xf>
    <xf numFmtId="0" fontId="5" fillId="0" borderId="0" xfId="0" applyFont="1" applyFill="1" applyBorder="1" applyAlignment="1">
      <alignment horizontal="left" vertical="center"/>
    </xf>
    <xf numFmtId="0" fontId="0" fillId="0" borderId="6" xfId="0" applyBorder="1">
      <alignment vertical="center"/>
    </xf>
    <xf numFmtId="0" fontId="2" fillId="0" borderId="0" xfId="0" applyFont="1" applyBorder="1" applyAlignment="1">
      <alignment horizontal="justify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0" fillId="0" borderId="0" xfId="0" applyFill="1" applyAlignment="1">
      <alignment horizontal="distributed" vertical="distributed"/>
    </xf>
    <xf numFmtId="0" fontId="3" fillId="0" borderId="0" xfId="0" applyFont="1" applyFill="1" applyAlignment="1">
      <alignment horizontal="distributed" vertical="distributed" wrapText="1"/>
    </xf>
    <xf numFmtId="0" fontId="4" fillId="0" borderId="0" xfId="0" applyFont="1" applyFill="1" applyAlignment="1">
      <alignment horizontal="distributed" vertical="distributed" wrapText="1"/>
    </xf>
    <xf numFmtId="0" fontId="5" fillId="0" borderId="0" xfId="0" applyFont="1" applyAlignment="1">
      <alignment vertical="center"/>
    </xf>
    <xf numFmtId="0" fontId="12" fillId="0" borderId="0" xfId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0" fillId="0" borderId="0" xfId="0" applyFill="1" applyAlignment="1">
      <alignment horizontal="distributed" vertical="center"/>
    </xf>
    <xf numFmtId="0" fontId="0" fillId="0" borderId="6" xfId="0" applyFill="1" applyBorder="1">
      <alignment vertical="center"/>
    </xf>
    <xf numFmtId="0" fontId="5" fillId="0" borderId="0" xfId="0" applyFont="1" applyFill="1" applyAlignment="1">
      <alignment vertical="center"/>
    </xf>
    <xf numFmtId="0" fontId="11" fillId="0" borderId="0" xfId="0" applyFont="1">
      <alignment vertical="center"/>
    </xf>
    <xf numFmtId="0" fontId="0" fillId="0" borderId="6" xfId="0" applyBorder="1" applyAlignment="1">
      <alignment horizontal="center" vertical="center"/>
    </xf>
    <xf numFmtId="0" fontId="17" fillId="0" borderId="0" xfId="0" applyFont="1" applyAlignment="1">
      <alignment horizontal="right" vertical="center" wrapText="1" indent="1"/>
    </xf>
    <xf numFmtId="179" fontId="17" fillId="0" borderId="0" xfId="0" applyNumberFormat="1" applyFont="1" applyBorder="1" applyAlignment="1">
      <alignment horizontal="right" vertical="center" wrapText="1" indent="1"/>
    </xf>
    <xf numFmtId="0" fontId="18" fillId="0" borderId="0" xfId="0" applyFont="1" applyAlignment="1">
      <alignment horizontal="right" vertical="center" wrapText="1" indent="1"/>
    </xf>
    <xf numFmtId="179" fontId="18" fillId="0" borderId="0" xfId="0" applyNumberFormat="1" applyFont="1" applyBorder="1" applyAlignment="1">
      <alignment horizontal="right" vertical="center" wrapText="1" indent="1"/>
    </xf>
    <xf numFmtId="0" fontId="18" fillId="0" borderId="0" xfId="0" applyFont="1" applyBorder="1" applyAlignment="1">
      <alignment horizontal="right" vertical="center" wrapText="1" indent="1"/>
    </xf>
    <xf numFmtId="179" fontId="17" fillId="0" borderId="8" xfId="0" applyNumberFormat="1" applyFont="1" applyBorder="1" applyAlignment="1">
      <alignment horizontal="right" vertical="center" wrapText="1" indent="1"/>
    </xf>
    <xf numFmtId="0" fontId="0" fillId="0" borderId="6" xfId="0" applyBorder="1" applyAlignment="1">
      <alignment horizontal="distributed" vertical="center"/>
    </xf>
    <xf numFmtId="0" fontId="15" fillId="0" borderId="0" xfId="0" applyFont="1" applyAlignment="1">
      <alignment vertical="center"/>
    </xf>
    <xf numFmtId="0" fontId="2" fillId="0" borderId="4" xfId="0" applyFont="1" applyBorder="1" applyAlignment="1">
      <alignment horizontal="justify" vertical="center" wrapText="1"/>
    </xf>
    <xf numFmtId="180" fontId="17" fillId="0" borderId="2" xfId="0" applyNumberFormat="1" applyFont="1" applyBorder="1" applyAlignment="1">
      <alignment horizontal="right" vertical="center" wrapText="1" indent="1"/>
    </xf>
    <xf numFmtId="180" fontId="17" fillId="0" borderId="0" xfId="0" applyNumberFormat="1" applyFont="1" applyAlignment="1">
      <alignment horizontal="right" vertical="center" wrapText="1" indent="1"/>
    </xf>
    <xf numFmtId="180" fontId="17" fillId="0" borderId="2" xfId="0" applyNumberFormat="1" applyFont="1" applyFill="1" applyBorder="1" applyAlignment="1">
      <alignment horizontal="right" vertical="center" wrapText="1" indent="1"/>
    </xf>
    <xf numFmtId="180" fontId="17" fillId="0" borderId="0" xfId="0" applyNumberFormat="1" applyFont="1" applyFill="1" applyAlignment="1">
      <alignment horizontal="right" vertical="center" wrapText="1" indent="1"/>
    </xf>
    <xf numFmtId="180" fontId="17" fillId="0" borderId="0" xfId="0" applyNumberFormat="1" applyFont="1" applyBorder="1" applyAlignment="1">
      <alignment horizontal="right" vertical="center" wrapText="1" indent="1"/>
    </xf>
    <xf numFmtId="180" fontId="18" fillId="0" borderId="0" xfId="0" applyNumberFormat="1" applyFont="1" applyAlignment="1">
      <alignment horizontal="right" vertical="center" wrapText="1" indent="1"/>
    </xf>
    <xf numFmtId="180" fontId="18" fillId="0" borderId="0" xfId="0" applyNumberFormat="1" applyFont="1" applyFill="1" applyAlignment="1">
      <alignment horizontal="right" vertical="center" wrapText="1" indent="1"/>
    </xf>
    <xf numFmtId="180" fontId="18" fillId="0" borderId="0" xfId="0" applyNumberFormat="1" applyFont="1" applyBorder="1" applyAlignment="1">
      <alignment horizontal="right" vertical="center" wrapText="1" indent="1"/>
    </xf>
    <xf numFmtId="180" fontId="18" fillId="0" borderId="0" xfId="0" applyNumberFormat="1" applyFont="1" applyFill="1" applyBorder="1" applyAlignment="1">
      <alignment horizontal="right" vertical="center" wrapText="1" indent="1"/>
    </xf>
    <xf numFmtId="180" fontId="17" fillId="0" borderId="8" xfId="0" applyNumberFormat="1" applyFont="1" applyBorder="1" applyAlignment="1">
      <alignment horizontal="right" vertical="center" wrapText="1" indent="1"/>
    </xf>
    <xf numFmtId="180" fontId="19" fillId="0" borderId="0" xfId="0" applyNumberFormat="1" applyFont="1" applyBorder="1" applyAlignment="1">
      <alignment horizontal="right" vertical="center" wrapText="1" indent="1"/>
    </xf>
    <xf numFmtId="180" fontId="17" fillId="0" borderId="6" xfId="0" applyNumberFormat="1" applyFont="1" applyBorder="1" applyAlignment="1">
      <alignment horizontal="right" vertical="center" wrapText="1" indent="1"/>
    </xf>
    <xf numFmtId="180" fontId="17" fillId="0" borderId="6" xfId="0" applyNumberFormat="1" applyFont="1" applyFill="1" applyBorder="1" applyAlignment="1">
      <alignment horizontal="right" vertical="center" wrapText="1" indent="1"/>
    </xf>
    <xf numFmtId="178" fontId="18" fillId="0" borderId="0" xfId="0" applyNumberFormat="1" applyFont="1" applyAlignment="1">
      <alignment horizontal="right" vertical="center" wrapText="1" indent="1"/>
    </xf>
    <xf numFmtId="0" fontId="17" fillId="0" borderId="6" xfId="0" applyFont="1" applyBorder="1" applyAlignment="1">
      <alignment horizontal="right" vertical="center" wrapText="1" indent="1"/>
    </xf>
    <xf numFmtId="179" fontId="17" fillId="0" borderId="6" xfId="0" applyNumberFormat="1" applyFont="1" applyBorder="1" applyAlignment="1">
      <alignment horizontal="right" vertical="center" wrapText="1" indent="1"/>
    </xf>
    <xf numFmtId="178" fontId="17" fillId="0" borderId="8" xfId="0" applyNumberFormat="1" applyFont="1" applyBorder="1" applyAlignment="1">
      <alignment horizontal="right" vertical="center" wrapText="1" indent="1"/>
    </xf>
    <xf numFmtId="180" fontId="17" fillId="0" borderId="8" xfId="0" applyNumberFormat="1" applyFont="1" applyFill="1" applyBorder="1" applyAlignment="1">
      <alignment horizontal="right" vertical="center" wrapText="1" indent="1"/>
    </xf>
    <xf numFmtId="178" fontId="17" fillId="0" borderId="0" xfId="0" applyNumberFormat="1" applyFont="1" applyBorder="1" applyAlignment="1">
      <alignment horizontal="right" vertical="center" wrapText="1" indent="1"/>
    </xf>
    <xf numFmtId="0" fontId="17" fillId="0" borderId="0" xfId="0" applyFont="1" applyBorder="1" applyAlignment="1">
      <alignment horizontal="right" vertical="center" wrapText="1" indent="1"/>
    </xf>
    <xf numFmtId="0" fontId="0" fillId="0" borderId="7" xfId="0" applyBorder="1" applyAlignment="1">
      <alignment horizontal="distributed" vertical="center"/>
    </xf>
    <xf numFmtId="0" fontId="0" fillId="0" borderId="0" xfId="0" applyBorder="1" applyAlignment="1">
      <alignment horizontal="distributed" vertical="center"/>
    </xf>
    <xf numFmtId="0" fontId="3" fillId="0" borderId="6" xfId="0" applyFont="1" applyBorder="1" applyAlignment="1">
      <alignment horizontal="justify" vertical="center" wrapText="1"/>
    </xf>
    <xf numFmtId="0" fontId="0" fillId="0" borderId="0" xfId="0" applyAlignment="1">
      <alignment vertical="center"/>
    </xf>
    <xf numFmtId="0" fontId="10" fillId="0" borderId="0" xfId="0" applyFont="1" applyFill="1" applyBorder="1" applyAlignment="1">
      <alignment vertical="center"/>
    </xf>
    <xf numFmtId="0" fontId="0" fillId="0" borderId="0" xfId="0" applyFill="1" applyBorder="1" applyAlignment="1">
      <alignment horizontal="right" vertical="center" indent="1"/>
    </xf>
    <xf numFmtId="176" fontId="17" fillId="0" borderId="2" xfId="0" applyNumberFormat="1" applyFont="1" applyBorder="1" applyAlignment="1">
      <alignment horizontal="right" vertical="center" wrapText="1" indent="1"/>
    </xf>
    <xf numFmtId="176" fontId="17" fillId="0" borderId="0" xfId="0" applyNumberFormat="1" applyFont="1" applyAlignment="1">
      <alignment horizontal="right" vertical="center" wrapText="1" indent="1"/>
    </xf>
    <xf numFmtId="176" fontId="18" fillId="0" borderId="0" xfId="0" applyNumberFormat="1" applyFont="1" applyAlignment="1">
      <alignment horizontal="right" vertical="center" wrapText="1" indent="1"/>
    </xf>
    <xf numFmtId="176" fontId="18" fillId="0" borderId="0" xfId="0" applyNumberFormat="1" applyFont="1" applyBorder="1" applyAlignment="1">
      <alignment horizontal="right" vertical="center" wrapText="1" indent="1"/>
    </xf>
    <xf numFmtId="176" fontId="17" fillId="0" borderId="3" xfId="0" applyNumberFormat="1" applyFont="1" applyBorder="1" applyAlignment="1">
      <alignment horizontal="right" vertical="center" wrapText="1" indent="1"/>
    </xf>
    <xf numFmtId="0" fontId="18" fillId="0" borderId="4" xfId="0" applyFont="1" applyBorder="1" applyAlignment="1">
      <alignment horizontal="right" vertical="center" wrapText="1" indent="1"/>
    </xf>
    <xf numFmtId="178" fontId="17" fillId="0" borderId="8" xfId="0" applyNumberFormat="1" applyFont="1" applyFill="1" applyBorder="1" applyAlignment="1">
      <alignment horizontal="right" vertical="center" wrapText="1" indent="1"/>
    </xf>
    <xf numFmtId="0" fontId="0" fillId="0" borderId="0" xfId="0" applyFont="1">
      <alignment vertical="center"/>
    </xf>
    <xf numFmtId="0" fontId="24" fillId="0" borderId="0" xfId="1" applyNumberFormat="1" applyFont="1">
      <alignment vertical="center"/>
    </xf>
    <xf numFmtId="0" fontId="25" fillId="0" borderId="0" xfId="1" applyFont="1">
      <alignment vertical="center"/>
    </xf>
    <xf numFmtId="0" fontId="26" fillId="0" borderId="0" xfId="0" applyFont="1">
      <alignment vertical="center"/>
    </xf>
    <xf numFmtId="0" fontId="27" fillId="0" borderId="0" xfId="0" applyFont="1">
      <alignment vertical="center"/>
    </xf>
    <xf numFmtId="0" fontId="22" fillId="0" borderId="0" xfId="0" applyFont="1" applyAlignment="1">
      <alignment horizontal="right" vertical="center" wrapText="1" indent="1"/>
    </xf>
    <xf numFmtId="179" fontId="22" fillId="0" borderId="2" xfId="0" applyNumberFormat="1" applyFont="1" applyBorder="1" applyAlignment="1">
      <alignment horizontal="right" vertical="center" wrapText="1" indent="1"/>
    </xf>
    <xf numFmtId="179" fontId="22" fillId="0" borderId="0" xfId="0" applyNumberFormat="1" applyFont="1" applyBorder="1" applyAlignment="1">
      <alignment horizontal="right" vertical="center" wrapText="1" indent="1"/>
    </xf>
    <xf numFmtId="0" fontId="23" fillId="0" borderId="0" xfId="0" applyFont="1" applyAlignment="1">
      <alignment horizontal="right" vertical="center" wrapText="1" indent="1"/>
    </xf>
    <xf numFmtId="179" fontId="23" fillId="0" borderId="0" xfId="0" applyNumberFormat="1" applyFont="1" applyBorder="1" applyAlignment="1">
      <alignment horizontal="right" vertical="center" wrapText="1" indent="1"/>
    </xf>
    <xf numFmtId="0" fontId="23" fillId="0" borderId="0" xfId="0" applyFont="1" applyBorder="1" applyAlignment="1">
      <alignment horizontal="right" vertical="center" wrapText="1" indent="1"/>
    </xf>
    <xf numFmtId="179" fontId="22" fillId="0" borderId="8" xfId="0" applyNumberFormat="1" applyFont="1" applyBorder="1" applyAlignment="1">
      <alignment horizontal="right" vertical="center" wrapText="1" indent="1"/>
    </xf>
    <xf numFmtId="0" fontId="22" fillId="0" borderId="6" xfId="0" applyFont="1" applyBorder="1" applyAlignment="1">
      <alignment horizontal="right" vertical="center" wrapText="1" indent="1"/>
    </xf>
    <xf numFmtId="179" fontId="22" fillId="0" borderId="6" xfId="0" applyNumberFormat="1" applyFont="1" applyBorder="1" applyAlignment="1">
      <alignment horizontal="right" vertical="center" wrapText="1" indent="1"/>
    </xf>
    <xf numFmtId="0" fontId="0" fillId="0" borderId="0" xfId="0" applyFill="1" applyBorder="1" applyAlignment="1">
      <alignment horizontal="distributed" vertical="distributed"/>
    </xf>
    <xf numFmtId="0" fontId="15" fillId="0" borderId="0" xfId="0" applyFont="1" applyFill="1" applyBorder="1" applyAlignment="1">
      <alignment horizontal="distributed" vertical="distributed" wrapText="1"/>
    </xf>
    <xf numFmtId="176" fontId="28" fillId="0" borderId="0" xfId="2" applyNumberFormat="1" applyFont="1" applyFill="1" applyBorder="1" applyAlignment="1">
      <alignment vertical="center" wrapText="1"/>
    </xf>
    <xf numFmtId="176" fontId="28" fillId="0" borderId="0" xfId="2" applyNumberFormat="1" applyFont="1" applyFill="1" applyBorder="1" applyAlignment="1">
      <alignment vertical="center"/>
    </xf>
    <xf numFmtId="0" fontId="31" fillId="0" borderId="0" xfId="0" applyFont="1">
      <alignment vertical="center"/>
    </xf>
    <xf numFmtId="0" fontId="0" fillId="0" borderId="0" xfId="0" applyAlignment="1">
      <alignment horizontal="right" vertical="center"/>
    </xf>
    <xf numFmtId="0" fontId="24" fillId="0" borderId="0" xfId="1" applyFont="1">
      <alignment vertical="center"/>
    </xf>
    <xf numFmtId="0" fontId="5" fillId="0" borderId="4" xfId="0" applyFont="1" applyBorder="1" applyAlignment="1">
      <alignment horizontal="center" vertical="center" wrapText="1"/>
    </xf>
    <xf numFmtId="0" fontId="6" fillId="0" borderId="0" xfId="0" applyFont="1" applyFill="1" applyBorder="1" applyAlignment="1">
      <alignment horizontal="distributed" vertical="distributed" wrapText="1"/>
    </xf>
    <xf numFmtId="0" fontId="0" fillId="0" borderId="0" xfId="0" applyAlignment="1">
      <alignment horizontal="center" vertical="center"/>
    </xf>
    <xf numFmtId="177" fontId="17" fillId="0" borderId="0" xfId="0" applyNumberFormat="1" applyFont="1" applyFill="1" applyAlignment="1">
      <alignment horizontal="right" vertical="center" wrapText="1" indent="1"/>
    </xf>
    <xf numFmtId="177" fontId="33" fillId="0" borderId="0" xfId="0" applyNumberFormat="1" applyFont="1" applyFill="1" applyBorder="1" applyAlignment="1">
      <alignment horizontal="right" vertical="center" indent="1"/>
    </xf>
    <xf numFmtId="177" fontId="17" fillId="0" borderId="2" xfId="0" applyNumberFormat="1" applyFont="1" applyFill="1" applyBorder="1" applyAlignment="1">
      <alignment horizontal="right" vertical="center" wrapText="1" indent="1"/>
    </xf>
    <xf numFmtId="177" fontId="18" fillId="0" borderId="0" xfId="0" applyNumberFormat="1" applyFont="1" applyFill="1" applyAlignment="1">
      <alignment horizontal="right" vertical="center" wrapText="1" indent="1"/>
    </xf>
    <xf numFmtId="177" fontId="18" fillId="0" borderId="0" xfId="0" applyNumberFormat="1" applyFont="1" applyFill="1" applyBorder="1" applyAlignment="1">
      <alignment horizontal="right" vertical="center" wrapText="1" indent="1"/>
    </xf>
    <xf numFmtId="177" fontId="17" fillId="0" borderId="8" xfId="0" applyNumberFormat="1" applyFont="1" applyFill="1" applyBorder="1" applyAlignment="1">
      <alignment horizontal="right" vertical="center" wrapText="1" indent="1"/>
    </xf>
    <xf numFmtId="177" fontId="17" fillId="0" borderId="6" xfId="0" applyNumberFormat="1" applyFont="1" applyFill="1" applyBorder="1" applyAlignment="1">
      <alignment horizontal="right" vertical="center" wrapText="1" indent="1"/>
    </xf>
    <xf numFmtId="177" fontId="33" fillId="0" borderId="6" xfId="0" applyNumberFormat="1" applyFont="1" applyFill="1" applyBorder="1" applyAlignment="1">
      <alignment horizontal="right" vertical="center" indent="1"/>
    </xf>
    <xf numFmtId="0" fontId="18" fillId="0" borderId="0" xfId="0" applyFont="1" applyAlignment="1">
      <alignment horizontal="justify" vertical="center" wrapText="1"/>
    </xf>
    <xf numFmtId="177" fontId="18" fillId="0" borderId="2" xfId="0" applyNumberFormat="1" applyFont="1" applyFill="1" applyBorder="1" applyAlignment="1">
      <alignment horizontal="right" vertical="center" wrapText="1" indent="1"/>
    </xf>
    <xf numFmtId="178" fontId="18" fillId="0" borderId="2" xfId="0" applyNumberFormat="1" applyFont="1" applyFill="1" applyBorder="1" applyAlignment="1">
      <alignment horizontal="right" vertical="center" wrapText="1" indent="1"/>
    </xf>
    <xf numFmtId="178" fontId="18" fillId="0" borderId="0" xfId="0" applyNumberFormat="1" applyFont="1" applyFill="1" applyAlignment="1">
      <alignment horizontal="right" vertical="center" wrapText="1" indent="1"/>
    </xf>
    <xf numFmtId="177" fontId="18" fillId="0" borderId="8" xfId="0" applyNumberFormat="1" applyFont="1" applyFill="1" applyBorder="1" applyAlignment="1">
      <alignment horizontal="right" vertical="center" wrapText="1" indent="1"/>
    </xf>
    <xf numFmtId="178" fontId="18" fillId="0" borderId="8" xfId="0" applyNumberFormat="1" applyFont="1" applyFill="1" applyBorder="1" applyAlignment="1">
      <alignment horizontal="right" vertical="center" wrapText="1" indent="1"/>
    </xf>
    <xf numFmtId="0" fontId="17" fillId="0" borderId="4" xfId="0" applyFont="1" applyBorder="1" applyAlignment="1">
      <alignment horizontal="justify" vertical="center" wrapText="1"/>
    </xf>
    <xf numFmtId="178" fontId="17" fillId="0" borderId="6" xfId="0" applyNumberFormat="1" applyFont="1" applyFill="1" applyBorder="1" applyAlignment="1">
      <alignment horizontal="right" vertical="center" wrapText="1" indent="1"/>
    </xf>
    <xf numFmtId="0" fontId="17" fillId="0" borderId="0" xfId="0" applyFont="1" applyAlignment="1">
      <alignment horizontal="justify" vertical="center" wrapText="1"/>
    </xf>
    <xf numFmtId="178" fontId="17" fillId="0" borderId="2" xfId="0" applyNumberFormat="1" applyFont="1" applyFill="1" applyBorder="1" applyAlignment="1">
      <alignment horizontal="right" vertical="center" wrapText="1" indent="1"/>
    </xf>
    <xf numFmtId="178" fontId="17" fillId="0" borderId="0" xfId="0" applyNumberFormat="1" applyFont="1" applyAlignment="1">
      <alignment horizontal="right" vertical="center" wrapText="1" indent="1"/>
    </xf>
    <xf numFmtId="178" fontId="17" fillId="0" borderId="0" xfId="0" applyNumberFormat="1" applyFont="1" applyFill="1" applyAlignment="1">
      <alignment horizontal="right" vertical="center" wrapText="1" indent="1"/>
    </xf>
    <xf numFmtId="0" fontId="6" fillId="0" borderId="0" xfId="0" applyFont="1" applyFill="1" applyBorder="1" applyAlignment="1">
      <alignment horizontal="distributed" vertical="distributed" wrapText="1"/>
    </xf>
    <xf numFmtId="0" fontId="34" fillId="0" borderId="0" xfId="0" applyFont="1" applyFill="1" applyAlignment="1">
      <alignment horizontal="distributed" vertical="distributed"/>
    </xf>
    <xf numFmtId="0" fontId="34" fillId="0" borderId="0" xfId="0" applyFont="1">
      <alignment vertical="center"/>
    </xf>
    <xf numFmtId="180" fontId="35" fillId="0" borderId="0" xfId="0" applyNumberFormat="1" applyFont="1" applyBorder="1" applyAlignment="1">
      <alignment horizontal="right" vertical="center" wrapText="1" indent="1"/>
    </xf>
    <xf numFmtId="177" fontId="36" fillId="0" borderId="0" xfId="0" applyNumberFormat="1" applyFont="1" applyFill="1" applyBorder="1" applyAlignment="1">
      <alignment horizontal="right" vertical="center" indent="1"/>
    </xf>
    <xf numFmtId="0" fontId="0" fillId="0" borderId="7" xfId="0" applyBorder="1">
      <alignment vertical="center"/>
    </xf>
    <xf numFmtId="0" fontId="2" fillId="0" borderId="7" xfId="0" applyFont="1" applyFill="1" applyBorder="1" applyAlignment="1">
      <alignment horizontal="justify" vertical="center" wrapText="1"/>
    </xf>
    <xf numFmtId="0" fontId="18" fillId="0" borderId="0" xfId="0" applyFont="1" applyBorder="1" applyAlignment="1">
      <alignment horizontal="justify" vertical="center" wrapText="1"/>
    </xf>
    <xf numFmtId="178" fontId="18" fillId="0" borderId="0" xfId="0" applyNumberFormat="1" applyFont="1" applyFill="1" applyBorder="1" applyAlignment="1">
      <alignment horizontal="right" vertical="center" wrapText="1" indent="1"/>
    </xf>
    <xf numFmtId="180" fontId="18" fillId="0" borderId="8" xfId="0" applyNumberFormat="1" applyFont="1" applyFill="1" applyBorder="1" applyAlignment="1">
      <alignment horizontal="right" vertical="center" wrapText="1" indent="1"/>
    </xf>
    <xf numFmtId="0" fontId="5" fillId="0" borderId="4" xfId="0" applyFont="1" applyBorder="1" applyAlignment="1">
      <alignment horizontal="center" vertical="center" wrapText="1"/>
    </xf>
    <xf numFmtId="0" fontId="6" fillId="0" borderId="0" xfId="0" applyFont="1" applyFill="1" applyBorder="1" applyAlignment="1">
      <alignment horizontal="distributed" vertical="distributed" wrapText="1"/>
    </xf>
    <xf numFmtId="0" fontId="37" fillId="0" borderId="0" xfId="0" applyFont="1" applyAlignment="1">
      <alignment horizontal="left" vertical="center"/>
    </xf>
    <xf numFmtId="0" fontId="38" fillId="0" borderId="0" xfId="0" applyFont="1" applyAlignment="1">
      <alignment horizontal="right" vertical="center"/>
    </xf>
    <xf numFmtId="0" fontId="39" fillId="0" borderId="0" xfId="0" applyFont="1" applyAlignment="1">
      <alignment horizontal="left" vertical="center"/>
    </xf>
    <xf numFmtId="180" fontId="22" fillId="2" borderId="2" xfId="0" applyNumberFormat="1" applyFont="1" applyFill="1" applyBorder="1" applyAlignment="1">
      <alignment horizontal="right" vertical="center" wrapText="1" indent="1"/>
    </xf>
    <xf numFmtId="178" fontId="22" fillId="2" borderId="2" xfId="0" applyNumberFormat="1" applyFont="1" applyFill="1" applyBorder="1" applyAlignment="1">
      <alignment horizontal="right" vertical="center" wrapText="1" indent="1"/>
    </xf>
    <xf numFmtId="180" fontId="22" fillId="2" borderId="0" xfId="0" applyNumberFormat="1" applyFont="1" applyFill="1" applyAlignment="1">
      <alignment horizontal="right" vertical="center" wrapText="1" indent="1"/>
    </xf>
    <xf numFmtId="178" fontId="22" fillId="2" borderId="0" xfId="0" applyNumberFormat="1" applyFont="1" applyFill="1" applyAlignment="1">
      <alignment horizontal="right" vertical="center" wrapText="1" indent="1"/>
    </xf>
    <xf numFmtId="180" fontId="23" fillId="2" borderId="0" xfId="0" applyNumberFormat="1" applyFont="1" applyFill="1" applyAlignment="1">
      <alignment horizontal="right" vertical="center" wrapText="1" indent="1"/>
    </xf>
    <xf numFmtId="178" fontId="23" fillId="2" borderId="0" xfId="0" applyNumberFormat="1" applyFont="1" applyFill="1" applyAlignment="1">
      <alignment horizontal="right" vertical="center" wrapText="1" indent="1"/>
    </xf>
    <xf numFmtId="178" fontId="23" fillId="2" borderId="0" xfId="0" applyNumberFormat="1" applyFont="1" applyFill="1" applyBorder="1" applyAlignment="1">
      <alignment horizontal="right" vertical="center" wrapText="1" indent="1"/>
    </xf>
    <xf numFmtId="180" fontId="23" fillId="2" borderId="0" xfId="0" applyNumberFormat="1" applyFont="1" applyFill="1" applyBorder="1" applyAlignment="1">
      <alignment horizontal="right" vertical="center" wrapText="1" indent="1"/>
    </xf>
    <xf numFmtId="180" fontId="22" fillId="2" borderId="8" xfId="0" applyNumberFormat="1" applyFont="1" applyFill="1" applyBorder="1" applyAlignment="1">
      <alignment horizontal="right" vertical="center" wrapText="1" indent="1"/>
    </xf>
    <xf numFmtId="178" fontId="22" fillId="2" borderId="8" xfId="0" applyNumberFormat="1" applyFont="1" applyFill="1" applyBorder="1" applyAlignment="1">
      <alignment horizontal="right" vertical="center" wrapText="1" indent="1"/>
    </xf>
    <xf numFmtId="180" fontId="22" fillId="2" borderId="6" xfId="0" applyNumberFormat="1" applyFont="1" applyFill="1" applyBorder="1" applyAlignment="1">
      <alignment horizontal="right" vertical="center" wrapText="1" indent="1"/>
    </xf>
    <xf numFmtId="178" fontId="22" fillId="2" borderId="6" xfId="0" applyNumberFormat="1" applyFont="1" applyFill="1" applyBorder="1" applyAlignment="1">
      <alignment horizontal="right" vertical="center" wrapText="1" indent="1"/>
    </xf>
    <xf numFmtId="0" fontId="3" fillId="0" borderId="4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180" fontId="17" fillId="2" borderId="2" xfId="0" applyNumberFormat="1" applyFont="1" applyFill="1" applyBorder="1" applyAlignment="1">
      <alignment horizontal="right" vertical="center" wrapText="1" indent="1"/>
    </xf>
    <xf numFmtId="180" fontId="17" fillId="2" borderId="0" xfId="0" applyNumberFormat="1" applyFont="1" applyFill="1" applyAlignment="1">
      <alignment horizontal="right" vertical="center" wrapText="1" indent="1"/>
    </xf>
    <xf numFmtId="180" fontId="18" fillId="2" borderId="0" xfId="0" applyNumberFormat="1" applyFont="1" applyFill="1" applyAlignment="1">
      <alignment horizontal="right" vertical="center" wrapText="1" indent="1"/>
    </xf>
    <xf numFmtId="180" fontId="18" fillId="2" borderId="0" xfId="0" applyNumberFormat="1" applyFont="1" applyFill="1" applyBorder="1" applyAlignment="1">
      <alignment horizontal="right" vertical="center" wrapText="1" indent="1"/>
    </xf>
    <xf numFmtId="180" fontId="17" fillId="2" borderId="8" xfId="0" applyNumberFormat="1" applyFont="1" applyFill="1" applyBorder="1" applyAlignment="1">
      <alignment horizontal="right" vertical="center" wrapText="1" indent="1"/>
    </xf>
    <xf numFmtId="180" fontId="17" fillId="2" borderId="6" xfId="0" applyNumberFormat="1" applyFont="1" applyFill="1" applyBorder="1" applyAlignment="1">
      <alignment horizontal="right" vertical="center" wrapText="1" indent="1"/>
    </xf>
    <xf numFmtId="0" fontId="3" fillId="0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180" fontId="17" fillId="2" borderId="0" xfId="0" applyNumberFormat="1" applyFont="1" applyFill="1" applyBorder="1" applyAlignment="1">
      <alignment horizontal="right" vertical="center" wrapText="1" indent="1"/>
    </xf>
    <xf numFmtId="178" fontId="17" fillId="2" borderId="0" xfId="0" applyNumberFormat="1" applyFont="1" applyFill="1" applyBorder="1" applyAlignment="1">
      <alignment horizontal="right" vertical="center" wrapText="1" indent="1"/>
    </xf>
    <xf numFmtId="178" fontId="18" fillId="2" borderId="0" xfId="0" applyNumberFormat="1" applyFont="1" applyFill="1" applyAlignment="1">
      <alignment horizontal="right" vertical="center" wrapText="1" indent="1"/>
    </xf>
    <xf numFmtId="178" fontId="17" fillId="2" borderId="8" xfId="0" applyNumberFormat="1" applyFont="1" applyFill="1" applyBorder="1" applyAlignment="1">
      <alignment horizontal="right" vertical="center" wrapText="1" indent="1"/>
    </xf>
    <xf numFmtId="0" fontId="26" fillId="0" borderId="7" xfId="0" applyFont="1" applyBorder="1">
      <alignment vertical="center"/>
    </xf>
    <xf numFmtId="178" fontId="17" fillId="2" borderId="0" xfId="0" applyNumberFormat="1" applyFont="1" applyFill="1" applyAlignment="1">
      <alignment horizontal="right" vertical="center" wrapText="1" indent="1"/>
    </xf>
    <xf numFmtId="178" fontId="17" fillId="2" borderId="6" xfId="0" applyNumberFormat="1" applyFont="1" applyFill="1" applyBorder="1" applyAlignment="1">
      <alignment horizontal="right" vertical="center" wrapText="1" indent="1"/>
    </xf>
    <xf numFmtId="176" fontId="17" fillId="2" borderId="2" xfId="0" applyNumberFormat="1" applyFont="1" applyFill="1" applyBorder="1" applyAlignment="1">
      <alignment horizontal="right" vertical="center" wrapText="1" indent="1"/>
    </xf>
    <xf numFmtId="176" fontId="17" fillId="2" borderId="0" xfId="0" applyNumberFormat="1" applyFont="1" applyFill="1" applyAlignment="1">
      <alignment horizontal="right" vertical="center" wrapText="1" indent="1"/>
    </xf>
    <xf numFmtId="176" fontId="18" fillId="2" borderId="0" xfId="0" applyNumberFormat="1" applyFont="1" applyFill="1" applyAlignment="1">
      <alignment horizontal="right" vertical="center" wrapText="1" indent="1"/>
    </xf>
    <xf numFmtId="176" fontId="18" fillId="2" borderId="0" xfId="0" applyNumberFormat="1" applyFont="1" applyFill="1" applyBorder="1" applyAlignment="1">
      <alignment horizontal="right" vertical="center" wrapText="1" indent="1"/>
    </xf>
    <xf numFmtId="176" fontId="17" fillId="2" borderId="3" xfId="0" applyNumberFormat="1" applyFont="1" applyFill="1" applyBorder="1" applyAlignment="1">
      <alignment horizontal="right" vertical="center" wrapText="1" indent="1"/>
    </xf>
    <xf numFmtId="177" fontId="17" fillId="2" borderId="0" xfId="0" applyNumberFormat="1" applyFont="1" applyFill="1" applyAlignment="1">
      <alignment horizontal="right" vertical="center" wrapText="1" indent="1"/>
    </xf>
    <xf numFmtId="177" fontId="18" fillId="2" borderId="0" xfId="0" applyNumberFormat="1" applyFont="1" applyFill="1" applyAlignment="1">
      <alignment horizontal="right" vertical="center" wrapText="1" indent="1"/>
    </xf>
    <xf numFmtId="177" fontId="18" fillId="2" borderId="0" xfId="0" applyNumberFormat="1" applyFont="1" applyFill="1" applyBorder="1" applyAlignment="1">
      <alignment horizontal="right" vertical="center" wrapText="1" indent="1"/>
    </xf>
    <xf numFmtId="177" fontId="17" fillId="2" borderId="8" xfId="0" applyNumberFormat="1" applyFont="1" applyFill="1" applyBorder="1" applyAlignment="1">
      <alignment horizontal="right" vertical="center" wrapText="1" indent="1"/>
    </xf>
    <xf numFmtId="177" fontId="17" fillId="2" borderId="6" xfId="0" applyNumberFormat="1" applyFont="1" applyFill="1" applyBorder="1" applyAlignment="1">
      <alignment horizontal="right" vertical="center" wrapText="1" indent="1"/>
    </xf>
    <xf numFmtId="177" fontId="17" fillId="2" borderId="2" xfId="0" applyNumberFormat="1" applyFont="1" applyFill="1" applyBorder="1" applyAlignment="1">
      <alignment horizontal="right" vertical="center" wrapText="1" indent="1"/>
    </xf>
    <xf numFmtId="180" fontId="18" fillId="2" borderId="8" xfId="0" applyNumberFormat="1" applyFont="1" applyFill="1" applyBorder="1" applyAlignment="1">
      <alignment horizontal="right" vertical="center" wrapText="1" indent="1"/>
    </xf>
    <xf numFmtId="177" fontId="18" fillId="2" borderId="2" xfId="0" applyNumberFormat="1" applyFont="1" applyFill="1" applyBorder="1" applyAlignment="1">
      <alignment horizontal="right" vertical="center" wrapText="1" indent="1"/>
    </xf>
    <xf numFmtId="177" fontId="18" fillId="2" borderId="8" xfId="0" applyNumberFormat="1" applyFont="1" applyFill="1" applyBorder="1" applyAlignment="1">
      <alignment horizontal="right" vertical="center" wrapText="1" indent="1"/>
    </xf>
    <xf numFmtId="178" fontId="18" fillId="2" borderId="2" xfId="0" applyNumberFormat="1" applyFont="1" applyFill="1" applyBorder="1" applyAlignment="1">
      <alignment horizontal="right" vertical="center" wrapText="1" indent="1"/>
    </xf>
    <xf numFmtId="178" fontId="18" fillId="2" borderId="8" xfId="0" applyNumberFormat="1" applyFont="1" applyFill="1" applyBorder="1" applyAlignment="1">
      <alignment horizontal="right" vertical="center" wrapText="1" indent="1"/>
    </xf>
    <xf numFmtId="0" fontId="3" fillId="0" borderId="0" xfId="0" applyFont="1" applyBorder="1" applyAlignment="1">
      <alignment horizontal="justify" vertical="center" wrapText="1"/>
    </xf>
    <xf numFmtId="178" fontId="17" fillId="2" borderId="2" xfId="0" applyNumberFormat="1" applyFont="1" applyFill="1" applyBorder="1" applyAlignment="1">
      <alignment horizontal="right" vertical="center" wrapText="1" indent="1"/>
    </xf>
    <xf numFmtId="178" fontId="18" fillId="2" borderId="0" xfId="0" applyNumberFormat="1" applyFont="1" applyFill="1" applyBorder="1" applyAlignment="1">
      <alignment horizontal="right" vertical="center" wrapText="1" indent="1"/>
    </xf>
    <xf numFmtId="180" fontId="23" fillId="0" borderId="0" xfId="0" applyNumberFormat="1" applyFont="1" applyFill="1" applyAlignment="1">
      <alignment horizontal="right" vertical="center" wrapText="1" indent="1"/>
    </xf>
    <xf numFmtId="178" fontId="23" fillId="0" borderId="0" xfId="0" applyNumberFormat="1" applyFont="1" applyFill="1" applyAlignment="1">
      <alignment horizontal="right" vertical="center" wrapText="1" indent="1"/>
    </xf>
    <xf numFmtId="0" fontId="23" fillId="0" borderId="0" xfId="0" applyFont="1" applyFill="1" applyAlignment="1">
      <alignment horizontal="right" vertical="center" wrapText="1" indent="1"/>
    </xf>
    <xf numFmtId="180" fontId="23" fillId="0" borderId="0" xfId="0" applyNumberFormat="1" applyFont="1" applyFill="1" applyBorder="1" applyAlignment="1">
      <alignment horizontal="right" vertical="center" wrapText="1" indent="1"/>
    </xf>
    <xf numFmtId="178" fontId="23" fillId="0" borderId="0" xfId="0" applyNumberFormat="1" applyFont="1" applyFill="1" applyBorder="1" applyAlignment="1">
      <alignment horizontal="right" vertical="center" wrapText="1" indent="1"/>
    </xf>
    <xf numFmtId="0" fontId="23" fillId="0" borderId="0" xfId="0" applyFont="1" applyFill="1" applyBorder="1" applyAlignment="1">
      <alignment horizontal="right" vertical="center" wrapText="1" indent="1"/>
    </xf>
    <xf numFmtId="176" fontId="17" fillId="0" borderId="0" xfId="0" applyNumberFormat="1" applyFont="1" applyFill="1" applyAlignment="1">
      <alignment horizontal="right" vertical="center" wrapText="1" indent="1"/>
    </xf>
    <xf numFmtId="181" fontId="0" fillId="0" borderId="0" xfId="0" applyNumberFormat="1" applyFill="1" applyBorder="1">
      <alignment vertical="center"/>
    </xf>
    <xf numFmtId="177" fontId="0" fillId="0" borderId="0" xfId="0" applyNumberFormat="1" applyFill="1" applyBorder="1">
      <alignment vertical="center"/>
    </xf>
    <xf numFmtId="0" fontId="3" fillId="0" borderId="11" xfId="0" applyFont="1" applyBorder="1" applyAlignment="1">
      <alignment horizontal="center" vertical="center" wrapText="1"/>
    </xf>
    <xf numFmtId="0" fontId="3" fillId="0" borderId="11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15" fillId="0" borderId="0" xfId="0" applyFont="1" applyFill="1" applyAlignment="1">
      <alignment horizontal="distributed" vertical="distributed" wrapText="1"/>
    </xf>
    <xf numFmtId="180" fontId="42" fillId="0" borderId="6" xfId="0" applyNumberFormat="1" applyFont="1" applyBorder="1" applyAlignment="1">
      <alignment horizontal="right" vertical="center" indent="1"/>
    </xf>
    <xf numFmtId="180" fontId="17" fillId="0" borderId="0" xfId="0" applyNumberFormat="1" applyFont="1" applyFill="1" applyBorder="1" applyAlignment="1">
      <alignment horizontal="right" vertical="center" wrapText="1" indent="1"/>
    </xf>
    <xf numFmtId="0" fontId="16" fillId="0" borderId="0" xfId="0" applyFont="1" applyBorder="1" applyAlignment="1">
      <alignment horizontal="distributed" vertical="distributed" wrapText="1"/>
    </xf>
    <xf numFmtId="0" fontId="43" fillId="0" borderId="0" xfId="0" applyFont="1" applyAlignment="1">
      <alignment vertical="center"/>
    </xf>
    <xf numFmtId="0" fontId="20" fillId="0" borderId="0" xfId="3">
      <alignment vertical="center"/>
    </xf>
    <xf numFmtId="0" fontId="5" fillId="0" borderId="0" xfId="3" applyFont="1" applyAlignment="1">
      <alignment vertical="center"/>
    </xf>
    <xf numFmtId="179" fontId="22" fillId="0" borderId="6" xfId="3" applyNumberFormat="1" applyFont="1" applyBorder="1" applyAlignment="1">
      <alignment horizontal="right" vertical="center" wrapText="1" indent="1"/>
    </xf>
    <xf numFmtId="180" fontId="42" fillId="0" borderId="6" xfId="3" applyNumberFormat="1" applyFont="1" applyBorder="1" applyAlignment="1">
      <alignment horizontal="right" vertical="center" indent="1"/>
    </xf>
    <xf numFmtId="180" fontId="17" fillId="2" borderId="6" xfId="3" applyNumberFormat="1" applyFont="1" applyFill="1" applyBorder="1" applyAlignment="1">
      <alignment horizontal="right" vertical="center" wrapText="1" indent="1"/>
    </xf>
    <xf numFmtId="180" fontId="17" fillId="0" borderId="6" xfId="3" applyNumberFormat="1" applyFont="1" applyBorder="1" applyAlignment="1">
      <alignment horizontal="right" vertical="center" wrapText="1" indent="1"/>
    </xf>
    <xf numFmtId="180" fontId="17" fillId="0" borderId="6" xfId="3" applyNumberFormat="1" applyFont="1" applyFill="1" applyBorder="1" applyAlignment="1">
      <alignment horizontal="right" vertical="center" wrapText="1" indent="1"/>
    </xf>
    <xf numFmtId="0" fontId="20" fillId="0" borderId="6" xfId="3" applyBorder="1">
      <alignment vertical="center"/>
    </xf>
    <xf numFmtId="179" fontId="17" fillId="0" borderId="8" xfId="3" applyNumberFormat="1" applyFont="1" applyBorder="1" applyAlignment="1">
      <alignment horizontal="right" vertical="center" wrapText="1" indent="1"/>
    </xf>
    <xf numFmtId="0" fontId="17" fillId="0" borderId="0" xfId="3" applyFont="1" applyBorder="1" applyAlignment="1">
      <alignment horizontal="right" vertical="center" wrapText="1" indent="1"/>
    </xf>
    <xf numFmtId="178" fontId="17" fillId="2" borderId="8" xfId="3" applyNumberFormat="1" applyFont="1" applyFill="1" applyBorder="1" applyAlignment="1">
      <alignment horizontal="right" vertical="center" wrapText="1" indent="1"/>
    </xf>
    <xf numFmtId="180" fontId="17" fillId="2" borderId="8" xfId="3" applyNumberFormat="1" applyFont="1" applyFill="1" applyBorder="1" applyAlignment="1">
      <alignment horizontal="right" vertical="center" wrapText="1" indent="1"/>
    </xf>
    <xf numFmtId="178" fontId="17" fillId="0" borderId="8" xfId="3" applyNumberFormat="1" applyFont="1" applyBorder="1" applyAlignment="1">
      <alignment horizontal="right" vertical="center" wrapText="1" indent="1"/>
    </xf>
    <xf numFmtId="180" fontId="17" fillId="0" borderId="8" xfId="3" applyNumberFormat="1" applyFont="1" applyBorder="1" applyAlignment="1">
      <alignment horizontal="right" vertical="center" wrapText="1" indent="1"/>
    </xf>
    <xf numFmtId="179" fontId="18" fillId="0" borderId="0" xfId="3" applyNumberFormat="1" applyFont="1" applyBorder="1" applyAlignment="1">
      <alignment horizontal="right" vertical="center" wrapText="1" indent="1"/>
    </xf>
    <xf numFmtId="0" fontId="18" fillId="0" borderId="0" xfId="3" applyFont="1" applyAlignment="1">
      <alignment horizontal="right" vertical="center" wrapText="1" indent="1"/>
    </xf>
    <xf numFmtId="178" fontId="18" fillId="2" borderId="0" xfId="3" applyNumberFormat="1" applyFont="1" applyFill="1" applyAlignment="1">
      <alignment horizontal="right" vertical="center" wrapText="1" indent="1"/>
    </xf>
    <xf numFmtId="180" fontId="18" fillId="2" borderId="0" xfId="3" applyNumberFormat="1" applyFont="1" applyFill="1" applyAlignment="1">
      <alignment horizontal="right" vertical="center" wrapText="1" indent="1"/>
    </xf>
    <xf numFmtId="178" fontId="18" fillId="0" borderId="0" xfId="3" applyNumberFormat="1" applyFont="1" applyAlignment="1">
      <alignment horizontal="right" vertical="center" wrapText="1" indent="1"/>
    </xf>
    <xf numFmtId="180" fontId="18" fillId="0" borderId="0" xfId="3" applyNumberFormat="1" applyFont="1" applyAlignment="1">
      <alignment horizontal="right" vertical="center" wrapText="1" indent="1"/>
    </xf>
    <xf numFmtId="0" fontId="15" fillId="0" borderId="0" xfId="3" applyFont="1" applyAlignment="1">
      <alignment horizontal="distributed" vertical="distributed" wrapText="1"/>
    </xf>
    <xf numFmtId="0" fontId="3" fillId="0" borderId="0" xfId="3" applyFont="1" applyAlignment="1">
      <alignment horizontal="distributed" vertical="distributed" wrapText="1"/>
    </xf>
    <xf numFmtId="179" fontId="17" fillId="0" borderId="0" xfId="3" applyNumberFormat="1" applyFont="1" applyBorder="1" applyAlignment="1">
      <alignment horizontal="right" vertical="center" wrapText="1" indent="1"/>
    </xf>
    <xf numFmtId="178" fontId="17" fillId="2" borderId="0" xfId="3" applyNumberFormat="1" applyFont="1" applyFill="1" applyBorder="1" applyAlignment="1">
      <alignment horizontal="right" vertical="center" wrapText="1" indent="1"/>
    </xf>
    <xf numFmtId="180" fontId="17" fillId="2" borderId="0" xfId="3" applyNumberFormat="1" applyFont="1" applyFill="1" applyBorder="1" applyAlignment="1">
      <alignment horizontal="right" vertical="center" wrapText="1" indent="1"/>
    </xf>
    <xf numFmtId="178" fontId="17" fillId="0" borderId="0" xfId="3" applyNumberFormat="1" applyFont="1" applyBorder="1" applyAlignment="1">
      <alignment horizontal="right" vertical="center" wrapText="1" indent="1"/>
    </xf>
    <xf numFmtId="180" fontId="17" fillId="0" borderId="0" xfId="3" applyNumberFormat="1" applyFont="1" applyBorder="1" applyAlignment="1">
      <alignment horizontal="right" vertical="center" wrapText="1" indent="1"/>
    </xf>
    <xf numFmtId="0" fontId="5" fillId="0" borderId="0" xfId="3" applyFont="1" applyFill="1" applyBorder="1" applyAlignment="1">
      <alignment horizontal="center" vertical="center" wrapText="1"/>
    </xf>
    <xf numFmtId="0" fontId="20" fillId="0" borderId="7" xfId="3" applyFill="1" applyBorder="1" applyAlignment="1">
      <alignment horizontal="distributed" vertical="center"/>
    </xf>
    <xf numFmtId="0" fontId="20" fillId="0" borderId="7" xfId="3" applyBorder="1" applyAlignment="1">
      <alignment horizontal="distributed" vertical="center"/>
    </xf>
    <xf numFmtId="0" fontId="12" fillId="0" borderId="0" xfId="4">
      <alignment vertical="center"/>
    </xf>
    <xf numFmtId="180" fontId="22" fillId="0" borderId="2" xfId="0" applyNumberFormat="1" applyFont="1" applyFill="1" applyBorder="1" applyAlignment="1">
      <alignment horizontal="right" vertical="center" wrapText="1" indent="1"/>
    </xf>
    <xf numFmtId="178" fontId="22" fillId="0" borderId="2" xfId="0" applyNumberFormat="1" applyFont="1" applyFill="1" applyBorder="1" applyAlignment="1">
      <alignment horizontal="right" vertical="center" wrapText="1" indent="1"/>
    </xf>
    <xf numFmtId="0" fontId="22" fillId="0" borderId="0" xfId="0" applyFont="1" applyFill="1" applyAlignment="1">
      <alignment horizontal="right" vertical="center" wrapText="1" indent="1"/>
    </xf>
    <xf numFmtId="180" fontId="22" fillId="0" borderId="0" xfId="0" applyNumberFormat="1" applyFont="1" applyFill="1" applyAlignment="1">
      <alignment horizontal="right" vertical="center" wrapText="1" indent="1"/>
    </xf>
    <xf numFmtId="178" fontId="22" fillId="0" borderId="0" xfId="0" applyNumberFormat="1" applyFont="1" applyFill="1" applyAlignment="1">
      <alignment horizontal="right" vertical="center" wrapText="1" indent="1"/>
    </xf>
    <xf numFmtId="180" fontId="22" fillId="0" borderId="8" xfId="0" applyNumberFormat="1" applyFont="1" applyFill="1" applyBorder="1" applyAlignment="1">
      <alignment horizontal="right" vertical="center" wrapText="1" indent="1"/>
    </xf>
    <xf numFmtId="178" fontId="22" fillId="0" borderId="8" xfId="0" applyNumberFormat="1" applyFont="1" applyFill="1" applyBorder="1" applyAlignment="1">
      <alignment horizontal="right" vertical="center" wrapText="1" indent="1"/>
    </xf>
    <xf numFmtId="180" fontId="22" fillId="0" borderId="6" xfId="0" applyNumberFormat="1" applyFont="1" applyFill="1" applyBorder="1" applyAlignment="1">
      <alignment horizontal="right" vertical="center" wrapText="1" indent="1"/>
    </xf>
    <xf numFmtId="178" fontId="22" fillId="0" borderId="6" xfId="0" applyNumberFormat="1" applyFont="1" applyFill="1" applyBorder="1" applyAlignment="1">
      <alignment horizontal="right" vertical="center" wrapText="1" indent="1"/>
    </xf>
    <xf numFmtId="0" fontId="22" fillId="0" borderId="6" xfId="0" applyFont="1" applyFill="1" applyBorder="1" applyAlignment="1">
      <alignment horizontal="right" vertical="center" wrapText="1" indent="1"/>
    </xf>
    <xf numFmtId="179" fontId="22" fillId="0" borderId="2" xfId="0" applyNumberFormat="1" applyFont="1" applyFill="1" applyBorder="1" applyAlignment="1">
      <alignment horizontal="right" vertical="center" wrapText="1" indent="1"/>
    </xf>
    <xf numFmtId="179" fontId="22" fillId="0" borderId="0" xfId="0" applyNumberFormat="1" applyFont="1" applyFill="1" applyBorder="1" applyAlignment="1">
      <alignment horizontal="right" vertical="center" wrapText="1" indent="1"/>
    </xf>
    <xf numFmtId="179" fontId="23" fillId="0" borderId="0" xfId="0" applyNumberFormat="1" applyFont="1" applyFill="1" applyBorder="1" applyAlignment="1">
      <alignment horizontal="right" vertical="center" wrapText="1" indent="1"/>
    </xf>
    <xf numFmtId="179" fontId="22" fillId="0" borderId="8" xfId="0" applyNumberFormat="1" applyFont="1" applyFill="1" applyBorder="1" applyAlignment="1">
      <alignment horizontal="right" vertical="center" wrapText="1" indent="1"/>
    </xf>
    <xf numFmtId="179" fontId="22" fillId="0" borderId="6" xfId="0" applyNumberFormat="1" applyFont="1" applyFill="1" applyBorder="1" applyAlignment="1">
      <alignment horizontal="right" vertical="center" wrapText="1" indent="1"/>
    </xf>
    <xf numFmtId="0" fontId="26" fillId="0" borderId="7" xfId="0" applyFont="1" applyFill="1" applyBorder="1">
      <alignment vertical="center"/>
    </xf>
    <xf numFmtId="0" fontId="2" fillId="0" borderId="0" xfId="0" applyFont="1" applyFill="1" applyBorder="1" applyAlignment="1">
      <alignment horizontal="justify" vertical="center" wrapText="1"/>
    </xf>
    <xf numFmtId="178" fontId="17" fillId="0" borderId="0" xfId="0" applyNumberFormat="1" applyFont="1" applyFill="1" applyBorder="1" applyAlignment="1">
      <alignment horizontal="right" vertical="center" wrapText="1" indent="1"/>
    </xf>
    <xf numFmtId="0" fontId="2" fillId="0" borderId="0" xfId="0" applyFont="1" applyFill="1" applyAlignment="1">
      <alignment horizontal="justify" vertical="center" wrapText="1"/>
    </xf>
    <xf numFmtId="0" fontId="18" fillId="0" borderId="0" xfId="0" applyFont="1" applyFill="1" applyAlignment="1">
      <alignment horizontal="right" vertical="center" wrapText="1" indent="1"/>
    </xf>
    <xf numFmtId="0" fontId="17" fillId="0" borderId="0" xfId="0" applyFont="1" applyFill="1" applyAlignment="1">
      <alignment horizontal="right" vertical="center" wrapText="1" indent="1"/>
    </xf>
    <xf numFmtId="0" fontId="3" fillId="0" borderId="0" xfId="0" applyFont="1" applyFill="1" applyAlignment="1">
      <alignment horizontal="justify" vertical="center" wrapText="1"/>
    </xf>
    <xf numFmtId="0" fontId="3" fillId="0" borderId="6" xfId="0" applyFont="1" applyFill="1" applyBorder="1" applyAlignment="1">
      <alignment horizontal="justify" vertical="center" wrapText="1"/>
    </xf>
    <xf numFmtId="0" fontId="5" fillId="0" borderId="0" xfId="0" applyFont="1" applyFill="1" applyAlignment="1">
      <alignment horizontal="left" vertical="center"/>
    </xf>
    <xf numFmtId="0" fontId="2" fillId="0" borderId="2" xfId="0" applyFont="1" applyFill="1" applyBorder="1" applyAlignment="1">
      <alignment horizontal="justify" vertical="center" wrapText="1"/>
    </xf>
    <xf numFmtId="176" fontId="18" fillId="0" borderId="0" xfId="0" applyNumberFormat="1" applyFont="1" applyFill="1" applyAlignment="1">
      <alignment horizontal="right" vertical="center" wrapText="1" indent="1"/>
    </xf>
    <xf numFmtId="176" fontId="17" fillId="0" borderId="3" xfId="0" applyNumberFormat="1" applyFont="1" applyFill="1" applyBorder="1" applyAlignment="1">
      <alignment horizontal="right" vertical="center" wrapText="1" indent="1"/>
    </xf>
    <xf numFmtId="0" fontId="18" fillId="0" borderId="4" xfId="0" applyFont="1" applyFill="1" applyBorder="1" applyAlignment="1">
      <alignment horizontal="right" vertical="center" wrapText="1" indent="1"/>
    </xf>
    <xf numFmtId="0" fontId="0" fillId="0" borderId="0" xfId="0" applyFill="1" applyAlignment="1">
      <alignment vertical="center"/>
    </xf>
    <xf numFmtId="182" fontId="17" fillId="0" borderId="6" xfId="2" applyNumberFormat="1" applyFont="1" applyBorder="1" applyAlignment="1">
      <alignment horizontal="right" vertical="center" wrapText="1" indent="1"/>
    </xf>
    <xf numFmtId="183" fontId="0" fillId="0" borderId="0" xfId="0" applyNumberFormat="1" applyFill="1" applyBorder="1">
      <alignment vertical="center"/>
    </xf>
    <xf numFmtId="0" fontId="45" fillId="0" borderId="0" xfId="1" applyFont="1">
      <alignment vertical="center"/>
    </xf>
    <xf numFmtId="0" fontId="46" fillId="0" borderId="0" xfId="0" applyFont="1">
      <alignment vertical="center"/>
    </xf>
    <xf numFmtId="0" fontId="15" fillId="0" borderId="0" xfId="0" applyFont="1" applyAlignment="1">
      <alignment horizontal="left" vertical="center"/>
    </xf>
    <xf numFmtId="9" fontId="20" fillId="0" borderId="0" xfId="5">
      <alignment vertical="center"/>
    </xf>
    <xf numFmtId="0" fontId="6" fillId="0" borderId="0" xfId="0" applyFont="1" applyFill="1" applyAlignment="1">
      <alignment horizontal="distributed" vertical="distributed" wrapText="1"/>
    </xf>
    <xf numFmtId="0" fontId="9" fillId="0" borderId="0" xfId="0" applyFont="1" applyFill="1" applyAlignment="1">
      <alignment horizontal="distributed" vertical="distributed" wrapText="1"/>
    </xf>
    <xf numFmtId="0" fontId="6" fillId="0" borderId="3" xfId="0" applyFont="1" applyFill="1" applyBorder="1" applyAlignment="1">
      <alignment horizontal="distributed" vertical="distributed" wrapText="1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right" vertical="center"/>
    </xf>
    <xf numFmtId="0" fontId="6" fillId="0" borderId="0" xfId="0" applyFont="1" applyFill="1" applyBorder="1" applyAlignment="1">
      <alignment horizontal="distributed" vertical="distributed" wrapText="1"/>
    </xf>
    <xf numFmtId="0" fontId="3" fillId="0" borderId="5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15" fillId="0" borderId="0" xfId="0" applyFont="1" applyBorder="1" applyAlignment="1">
      <alignment horizontal="right" vertical="center"/>
    </xf>
    <xf numFmtId="0" fontId="5" fillId="0" borderId="1" xfId="0" applyFont="1" applyBorder="1" applyAlignment="1">
      <alignment horizontal="center" vertical="center" wrapText="1"/>
    </xf>
    <xf numFmtId="0" fontId="16" fillId="0" borderId="0" xfId="0" applyFont="1" applyBorder="1" applyAlignment="1">
      <alignment horizontal="right" vertical="center"/>
    </xf>
    <xf numFmtId="0" fontId="16" fillId="0" borderId="9" xfId="0" applyFont="1" applyFill="1" applyBorder="1" applyAlignment="1">
      <alignment horizontal="distributed" vertical="distributed" wrapText="1"/>
    </xf>
    <xf numFmtId="0" fontId="16" fillId="0" borderId="0" xfId="0" applyFont="1" applyFill="1" applyBorder="1" applyAlignment="1">
      <alignment horizontal="distributed" vertical="distributed" wrapText="1"/>
    </xf>
    <xf numFmtId="0" fontId="16" fillId="0" borderId="0" xfId="0" applyFont="1" applyFill="1" applyAlignment="1">
      <alignment horizontal="distributed" vertical="distributed" wrapText="1"/>
    </xf>
    <xf numFmtId="0" fontId="16" fillId="0" borderId="9" xfId="3" applyFont="1" applyBorder="1" applyAlignment="1">
      <alignment horizontal="distributed" vertical="distributed" wrapText="1"/>
    </xf>
    <xf numFmtId="0" fontId="5" fillId="0" borderId="4" xfId="3" applyFont="1" applyBorder="1" applyAlignment="1">
      <alignment horizontal="center" vertical="center" wrapText="1"/>
    </xf>
    <xf numFmtId="0" fontId="16" fillId="0" borderId="2" xfId="3" applyFont="1" applyBorder="1" applyAlignment="1">
      <alignment horizontal="distributed" vertical="distributed" wrapText="1"/>
    </xf>
    <xf numFmtId="0" fontId="16" fillId="0" borderId="0" xfId="3" applyFont="1" applyAlignment="1">
      <alignment horizontal="distributed" vertical="distributed" wrapText="1"/>
    </xf>
    <xf numFmtId="0" fontId="9" fillId="0" borderId="0" xfId="3" applyFont="1" applyFill="1" applyAlignment="1">
      <alignment horizontal="distributed" vertical="distributed" wrapText="1"/>
    </xf>
    <xf numFmtId="0" fontId="13" fillId="0" borderId="0" xfId="3" applyFont="1" applyAlignment="1">
      <alignment horizontal="center" vertical="center"/>
    </xf>
    <xf numFmtId="0" fontId="15" fillId="0" borderId="0" xfId="3" applyFont="1" applyAlignment="1">
      <alignment horizontal="right" vertical="center"/>
    </xf>
    <xf numFmtId="0" fontId="3" fillId="0" borderId="10" xfId="0" applyFont="1" applyBorder="1" applyAlignment="1">
      <alignment horizontal="center" vertical="center" wrapText="1"/>
    </xf>
    <xf numFmtId="0" fontId="3" fillId="0" borderId="10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6" fillId="0" borderId="9" xfId="0" applyFont="1" applyFill="1" applyBorder="1" applyAlignment="1">
      <alignment horizontal="distributed" vertical="distributed" wrapText="1"/>
    </xf>
    <xf numFmtId="0" fontId="5" fillId="0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5" fillId="0" borderId="4" xfId="0" applyFont="1" applyFill="1" applyBorder="1" applyAlignment="1">
      <alignment horizontal="center" vertical="center" wrapText="1"/>
    </xf>
    <xf numFmtId="0" fontId="5" fillId="0" borderId="7" xfId="0" applyFont="1" applyFill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6" fillId="0" borderId="3" xfId="0" applyFont="1" applyFill="1" applyBorder="1" applyAlignment="1">
      <alignment horizontal="distributed" vertical="distributed" wrapText="1" justifyLastLine="1"/>
    </xf>
  </cellXfs>
  <cellStyles count="6">
    <cellStyle name="백분율" xfId="5" builtinId="5"/>
    <cellStyle name="쉼표 [0]" xfId="2" builtinId="6"/>
    <cellStyle name="표준" xfId="0" builtinId="0"/>
    <cellStyle name="표준 2" xfId="3" xr:uid="{6CA3045B-E69C-4AAD-89F0-2F7B717CC1B2}"/>
    <cellStyle name="하이퍼링크" xfId="1" builtinId="8"/>
    <cellStyle name="하이퍼링크 2" xfId="4" xr:uid="{B3D39808-62C4-4219-AC7C-F8CD27BBE775}"/>
  </cellStyles>
  <dxfs count="0"/>
  <tableStyles count="0" defaultTableStyle="TableStyleMedium2" defaultPivotStyle="PivotStyleLight16"/>
  <colors>
    <mruColors>
      <color rgb="FFE0E5F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BOK_Style">
  <a:themeElements>
    <a:clrScheme name="BOK_스타일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00ACDC"/>
      </a:accent1>
      <a:accent2>
        <a:srgbClr val="005596"/>
      </a:accent2>
      <a:accent3>
        <a:srgbClr val="B18D43"/>
      </a:accent3>
      <a:accent4>
        <a:srgbClr val="6D6E72"/>
      </a:accent4>
      <a:accent5>
        <a:srgbClr val="B2B3B7"/>
      </a:accent5>
      <a:accent6>
        <a:srgbClr val="DCDDDF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/>
    <pageSetUpPr fitToPage="1"/>
  </sheetPr>
  <dimension ref="B2:C33"/>
  <sheetViews>
    <sheetView tabSelected="1" view="pageBreakPreview" zoomScale="90" zoomScaleNormal="90" zoomScaleSheetLayoutView="90" workbookViewId="0">
      <selection activeCell="C2" sqref="C2"/>
    </sheetView>
  </sheetViews>
  <sheetFormatPr defaultRowHeight="16.5"/>
  <cols>
    <col min="1" max="1" width="4.875" customWidth="1"/>
    <col min="2" max="2" width="3.125" style="101" customWidth="1"/>
  </cols>
  <sheetData>
    <row r="2" spans="2:3" ht="20.25">
      <c r="B2" s="138" t="s">
        <v>80</v>
      </c>
    </row>
    <row r="3" spans="2:3">
      <c r="C3" s="82"/>
    </row>
    <row r="4" spans="2:3">
      <c r="B4" s="139">
        <v>1</v>
      </c>
      <c r="C4" s="83" t="s">
        <v>231</v>
      </c>
    </row>
    <row r="5" spans="2:3">
      <c r="B5" s="139">
        <v>2</v>
      </c>
      <c r="C5" s="84" t="s">
        <v>232</v>
      </c>
    </row>
    <row r="6" spans="2:3">
      <c r="B6" s="139">
        <v>3</v>
      </c>
      <c r="C6" s="84" t="s">
        <v>233</v>
      </c>
    </row>
    <row r="7" spans="2:3">
      <c r="B7" s="139">
        <v>4</v>
      </c>
      <c r="C7" s="84" t="s">
        <v>234</v>
      </c>
    </row>
    <row r="8" spans="2:3">
      <c r="B8" s="139">
        <v>5</v>
      </c>
      <c r="C8" s="84" t="s">
        <v>235</v>
      </c>
    </row>
    <row r="9" spans="2:3">
      <c r="B9" s="139">
        <v>6</v>
      </c>
      <c r="C9" s="84" t="s">
        <v>236</v>
      </c>
    </row>
    <row r="10" spans="2:3">
      <c r="B10" s="139">
        <v>7</v>
      </c>
      <c r="C10" s="84" t="s">
        <v>237</v>
      </c>
    </row>
    <row r="11" spans="2:3">
      <c r="B11" s="139">
        <v>8</v>
      </c>
      <c r="C11" s="84" t="s">
        <v>238</v>
      </c>
    </row>
    <row r="12" spans="2:3">
      <c r="B12" s="139">
        <v>9</v>
      </c>
      <c r="C12" s="84" t="s">
        <v>239</v>
      </c>
    </row>
    <row r="13" spans="2:3">
      <c r="B13" s="139">
        <v>10</v>
      </c>
      <c r="C13" s="102" t="s">
        <v>240</v>
      </c>
    </row>
    <row r="14" spans="2:3">
      <c r="B14" s="139">
        <v>11</v>
      </c>
      <c r="C14" s="84" t="s">
        <v>241</v>
      </c>
    </row>
    <row r="15" spans="2:3">
      <c r="B15" s="139">
        <v>12</v>
      </c>
      <c r="C15" s="84" t="s">
        <v>242</v>
      </c>
    </row>
    <row r="16" spans="2:3">
      <c r="B16" s="139">
        <v>13</v>
      </c>
      <c r="C16" s="84" t="s">
        <v>243</v>
      </c>
    </row>
    <row r="17" spans="2:3">
      <c r="B17" s="139">
        <v>14</v>
      </c>
      <c r="C17" s="271" t="s">
        <v>244</v>
      </c>
    </row>
    <row r="18" spans="2:3">
      <c r="B18" s="139">
        <v>15</v>
      </c>
      <c r="C18" s="102" t="s">
        <v>37</v>
      </c>
    </row>
    <row r="19" spans="2:3">
      <c r="B19" s="139"/>
      <c r="C19" s="84" t="s">
        <v>97</v>
      </c>
    </row>
    <row r="20" spans="2:3">
      <c r="B20" s="139">
        <v>16</v>
      </c>
      <c r="C20" s="84" t="s">
        <v>39</v>
      </c>
    </row>
    <row r="21" spans="2:3">
      <c r="B21" s="139"/>
      <c r="C21" s="84" t="s">
        <v>98</v>
      </c>
    </row>
    <row r="22" spans="2:3">
      <c r="B22" s="139">
        <v>17</v>
      </c>
      <c r="C22" s="84" t="s">
        <v>38</v>
      </c>
    </row>
    <row r="23" spans="2:3">
      <c r="B23" s="139"/>
      <c r="C23" s="84" t="s">
        <v>99</v>
      </c>
    </row>
    <row r="24" spans="2:3">
      <c r="B24" s="139">
        <v>18</v>
      </c>
      <c r="C24" s="102" t="s">
        <v>285</v>
      </c>
    </row>
    <row r="25" spans="2:3">
      <c r="C25" s="85"/>
    </row>
    <row r="26" spans="2:3">
      <c r="B26" s="140" t="s">
        <v>341</v>
      </c>
    </row>
    <row r="28" spans="2:3">
      <c r="C28" s="38"/>
    </row>
    <row r="29" spans="2:3">
      <c r="C29" s="38"/>
    </row>
    <row r="30" spans="2:3">
      <c r="C30" s="86"/>
    </row>
    <row r="31" spans="2:3">
      <c r="C31" s="86"/>
    </row>
    <row r="32" spans="2:3">
      <c r="C32" s="86"/>
    </row>
    <row r="33" spans="3:3">
      <c r="C33" s="86"/>
    </row>
  </sheetData>
  <phoneticPr fontId="1" type="noConversion"/>
  <hyperlinks>
    <hyperlink ref="C4" location="'1.산업별 총산출 및 구성'!A1" display=" 산업별 총산출 및 구성" xr:uid="{00000000-0004-0000-0000-000000000000}"/>
    <hyperlink ref="C5" location="'2.산업별 부가가치 및 구성'!A1" display=" 산업별 부가가치 및 구성" xr:uid="{00000000-0004-0000-0000-000001000000}"/>
    <hyperlink ref="C6" location="'3.산업별 중간투입률'!A1" display=" 산업별 중간투입률" xr:uid="{00000000-0004-0000-0000-000002000000}"/>
    <hyperlink ref="C7" location="'4.산업별 국산화율'!A1" display=" 산업별 국산화율" xr:uid="{00000000-0004-0000-0000-000003000000}"/>
    <hyperlink ref="C8" location="'5.산업별 수입투입률'!A1" display=" 산업별 수입투입률" xr:uid="{00000000-0004-0000-0000-000004000000}"/>
    <hyperlink ref="C9" location="'6.산업별 부가가치율'!A1" display=" 산업별 부가가치율" xr:uid="{00000000-0004-0000-0000-000005000000}"/>
    <hyperlink ref="C10" location="'7.민간소비지출의 구성'!A1" display=" 민간소비지출 구성" xr:uid="{00000000-0004-0000-0000-000006000000}"/>
    <hyperlink ref="C11" location="'8.고정자본형성의 구성'!A1" display=" 고정자본형성의 구성" xr:uid="{00000000-0004-0000-0000-000007000000}"/>
    <hyperlink ref="C12" location="'9.품목별 수출률 및 구성'!A1" display=" 품목별 수출률 및 구성" xr:uid="{00000000-0004-0000-0000-000008000000}"/>
    <hyperlink ref="C13" location="'10.품목별 수입률 및 구성'!A1" display=" 품목별 수입률 및 구성" xr:uid="{00000000-0004-0000-0000-000009000000}"/>
    <hyperlink ref="C14" location="'11.품목별 생산유발계수'!A1" display=" 품목별 생산유발계수" xr:uid="{00000000-0004-0000-0000-00000A000000}"/>
    <hyperlink ref="C15" location="'12.품목별 부가가치유발계수'!A1" display=" 품목별 부가가치유발계수" xr:uid="{00000000-0004-0000-0000-00000B000000}"/>
    <hyperlink ref="C16" location="'13.품목별 수입유발계수'!A1" display=" 품목별 수입유발계수" xr:uid="{00000000-0004-0000-0000-00000C000000}"/>
    <hyperlink ref="C18" location="'15.최종수요항목별 생산유발계수 및 생산유발구성비'!A1" display="최종수요항목별 생산유발계수 및 생산유발 구성비" xr:uid="{00000000-0004-0000-0000-00000E000000}"/>
    <hyperlink ref="C20" location="'16.최종수요항목별 VA유발계수 및 VA유발구성비'!A1" display="최종수요항목별 부가가치유발계수 및 부가가치유발 구성비" xr:uid="{00000000-0004-0000-0000-00000F000000}"/>
    <hyperlink ref="C22" location="'17.최종수요항목별 수입유발계수 및 수입유발구성비'!A1" display="최종수요항목별 수입유발계수 및 수입유발 구성비" xr:uid="{00000000-0004-0000-0000-000010000000}"/>
    <hyperlink ref="C19" location="'15(상세)최종수요항목별 생산유발계수 및 생산유발구성비'!A1" display="(상세)최종수요항목별 생산유발계수 및 생산유발 구성비" xr:uid="{00000000-0004-0000-0000-000011000000}"/>
    <hyperlink ref="C21" location="'16(상세)최종수요항목별 VA유발계수 및 VA유발구성비'!A1" display="(상세)최종수요항목별 부가가치유발계수 및 부가가치유발 구성비" xr:uid="{00000000-0004-0000-0000-000012000000}"/>
    <hyperlink ref="C23" location="'17(상세)최종수요항목별 수입유발계수 및 수입유발구성비'!A1" display="(상세)최종수요항목별 수입유발계수 및 수입유발 구성비" xr:uid="{00000000-0004-0000-0000-000013000000}"/>
    <hyperlink ref="C24" location="'18. (프린트용)최종수요 항목별 분석'!A1" display="(프린트용) 최종수요 항목별 분석" xr:uid="{00000000-0004-0000-0000-000014000000}"/>
    <hyperlink ref="C17" location="'14.영향력계수 및 감응도계수 추이'!A1" display="영향력계수 및 감응도계수 추이" xr:uid="{00000000-0004-0000-0000-00000D000000}"/>
  </hyperlinks>
  <pageMargins left="0.7" right="0.7" top="0.75" bottom="0.75" header="0.3" footer="0.3"/>
  <pageSetup paperSize="9" scale="62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5" tint="0.79998168889431442"/>
  </sheetPr>
  <dimension ref="A1:Q54"/>
  <sheetViews>
    <sheetView view="pageBreakPreview" topLeftCell="A13" zoomScaleNormal="100" zoomScaleSheetLayoutView="100" workbookViewId="0">
      <selection activeCell="D1" sqref="D1"/>
    </sheetView>
  </sheetViews>
  <sheetFormatPr defaultRowHeight="16.5"/>
  <cols>
    <col min="1" max="1" width="2.625" customWidth="1"/>
    <col min="2" max="2" width="2.125" customWidth="1"/>
    <col min="3" max="3" width="2.125" style="7" customWidth="1"/>
    <col min="4" max="4" width="26.625" style="7" customWidth="1"/>
    <col min="5" max="5" width="1.625" style="15" customWidth="1"/>
    <col min="6" max="6" width="10.375" bestFit="1" customWidth="1"/>
    <col min="7" max="7" width="9.625" customWidth="1"/>
    <col min="8" max="8" width="1.625" customWidth="1"/>
    <col min="9" max="9" width="10.375" style="23" bestFit="1" customWidth="1"/>
    <col min="10" max="10" width="9.625" style="23" customWidth="1"/>
    <col min="11" max="11" width="1.625" customWidth="1"/>
    <col min="12" max="12" width="10.375" bestFit="1" customWidth="1"/>
    <col min="13" max="13" width="9.625" customWidth="1"/>
    <col min="14" max="14" width="1.625" customWidth="1"/>
    <col min="15" max="16" width="9.625" customWidth="1"/>
  </cols>
  <sheetData>
    <row r="1" spans="1:16" ht="16.5" customHeight="1">
      <c r="A1" s="32" t="s">
        <v>277</v>
      </c>
    </row>
    <row r="2" spans="1:16" ht="6" customHeight="1">
      <c r="A2" s="32"/>
    </row>
    <row r="3" spans="1:16" ht="18">
      <c r="B3" s="278" t="s">
        <v>278</v>
      </c>
      <c r="C3" s="279"/>
      <c r="D3" s="279"/>
      <c r="E3" s="279"/>
      <c r="F3" s="279"/>
      <c r="G3" s="279"/>
      <c r="H3" s="279"/>
      <c r="I3" s="279"/>
      <c r="J3" s="279"/>
      <c r="K3" s="279"/>
      <c r="L3" s="279"/>
      <c r="M3" s="279"/>
      <c r="N3" s="279"/>
      <c r="O3" s="279"/>
      <c r="P3" s="279"/>
    </row>
    <row r="4" spans="1:16" ht="18.75" customHeight="1">
      <c r="B4" s="280" t="s">
        <v>279</v>
      </c>
      <c r="C4" s="280"/>
      <c r="D4" s="280"/>
      <c r="E4" s="280"/>
      <c r="F4" s="280"/>
      <c r="G4" s="280"/>
      <c r="H4" s="280"/>
      <c r="I4" s="280"/>
      <c r="J4" s="280"/>
      <c r="K4" s="280"/>
      <c r="L4" s="280"/>
      <c r="M4" s="280"/>
      <c r="N4" s="280"/>
      <c r="O4" s="280"/>
      <c r="P4" s="280"/>
    </row>
    <row r="5" spans="1:16" ht="8.25" customHeight="1" thickBot="1">
      <c r="C5" s="136"/>
      <c r="D5" s="136"/>
      <c r="E5" s="16"/>
      <c r="I5"/>
      <c r="J5"/>
    </row>
    <row r="6" spans="1:16" ht="24" customHeight="1" thickTop="1">
      <c r="B6" s="69"/>
      <c r="C6" s="70"/>
      <c r="D6" s="70"/>
      <c r="E6" s="17"/>
      <c r="F6" s="282" t="s">
        <v>286</v>
      </c>
      <c r="G6" s="282"/>
      <c r="H6" s="3" t="s">
        <v>0</v>
      </c>
      <c r="I6" s="284" t="s">
        <v>289</v>
      </c>
      <c r="J6" s="284"/>
      <c r="K6" s="3" t="s">
        <v>0</v>
      </c>
      <c r="L6" s="285" t="s">
        <v>287</v>
      </c>
      <c r="M6" s="285"/>
      <c r="N6" s="3"/>
      <c r="O6" s="282" t="s">
        <v>40</v>
      </c>
      <c r="P6" s="282"/>
    </row>
    <row r="7" spans="1:16" ht="24" customHeight="1" thickBot="1">
      <c r="B7" s="283" t="s">
        <v>0</v>
      </c>
      <c r="C7" s="283"/>
      <c r="D7" s="283"/>
      <c r="E7" s="16"/>
      <c r="F7" s="154" t="s">
        <v>41</v>
      </c>
      <c r="G7" s="154" t="s">
        <v>288</v>
      </c>
      <c r="H7" s="1" t="s">
        <v>0</v>
      </c>
      <c r="I7" s="155" t="s">
        <v>41</v>
      </c>
      <c r="J7" s="155" t="s">
        <v>253</v>
      </c>
      <c r="K7" s="1" t="s">
        <v>0</v>
      </c>
      <c r="L7" s="156" t="s">
        <v>41</v>
      </c>
      <c r="M7" s="156" t="s">
        <v>250</v>
      </c>
      <c r="N7" s="1"/>
      <c r="O7" s="154" t="s">
        <v>280</v>
      </c>
      <c r="P7" s="154" t="s">
        <v>281</v>
      </c>
    </row>
    <row r="8" spans="1:16" ht="16.5" customHeight="1" thickTop="1">
      <c r="B8" s="281" t="s">
        <v>1</v>
      </c>
      <c r="C8" s="281"/>
      <c r="D8" s="281"/>
      <c r="E8" s="137"/>
      <c r="F8" s="240">
        <v>54.95</v>
      </c>
      <c r="G8" s="241">
        <v>1.71</v>
      </c>
      <c r="H8" s="242"/>
      <c r="I8" s="240">
        <v>61.37</v>
      </c>
      <c r="J8" s="241">
        <v>1.6</v>
      </c>
      <c r="K8" s="87"/>
      <c r="L8" s="141">
        <v>64.349999999999994</v>
      </c>
      <c r="M8" s="142">
        <v>1.41</v>
      </c>
      <c r="N8" s="87"/>
      <c r="O8" s="88">
        <f t="shared" ref="O8:O51" si="0">J8-G8</f>
        <v>-0.10999999999999988</v>
      </c>
      <c r="P8" s="88">
        <f t="shared" ref="P8:P51" si="1">M8-J8</f>
        <v>-0.19000000000000017</v>
      </c>
    </row>
    <row r="9" spans="1:16" ht="16.5" customHeight="1">
      <c r="B9" s="275" t="s">
        <v>2</v>
      </c>
      <c r="C9" s="275"/>
      <c r="D9" s="275"/>
      <c r="E9" s="137"/>
      <c r="F9" s="243">
        <v>3.48</v>
      </c>
      <c r="G9" s="244">
        <v>0.11</v>
      </c>
      <c r="H9" s="242"/>
      <c r="I9" s="243">
        <v>4.13</v>
      </c>
      <c r="J9" s="244">
        <v>0.11</v>
      </c>
      <c r="K9" s="87"/>
      <c r="L9" s="143">
        <v>3.99</v>
      </c>
      <c r="M9" s="144">
        <v>0.09</v>
      </c>
      <c r="N9" s="87"/>
      <c r="O9" s="89">
        <f t="shared" si="0"/>
        <v>0</v>
      </c>
      <c r="P9" s="89">
        <f t="shared" si="1"/>
        <v>-2.0000000000000004E-2</v>
      </c>
    </row>
    <row r="10" spans="1:16" ht="16.5" customHeight="1">
      <c r="B10" s="275" t="s">
        <v>178</v>
      </c>
      <c r="C10" s="275"/>
      <c r="D10" s="275"/>
      <c r="E10" s="137"/>
      <c r="F10" s="243">
        <v>1525.08</v>
      </c>
      <c r="G10" s="244">
        <v>47.39</v>
      </c>
      <c r="H10" s="242"/>
      <c r="I10" s="243">
        <v>1707.03</v>
      </c>
      <c r="J10" s="244">
        <v>44.53</v>
      </c>
      <c r="K10" s="87"/>
      <c r="L10" s="143">
        <v>1831.77</v>
      </c>
      <c r="M10" s="144">
        <v>40.19</v>
      </c>
      <c r="N10" s="87"/>
      <c r="O10" s="89">
        <f t="shared" si="0"/>
        <v>-2.8599999999999994</v>
      </c>
      <c r="P10" s="89">
        <f t="shared" si="1"/>
        <v>-4.3400000000000034</v>
      </c>
    </row>
    <row r="11" spans="1:16" ht="16.5" customHeight="1">
      <c r="B11" s="28"/>
      <c r="C11" s="275" t="s">
        <v>179</v>
      </c>
      <c r="D11" s="275"/>
      <c r="E11" s="137"/>
      <c r="F11" s="243">
        <v>216.71</v>
      </c>
      <c r="G11" s="244">
        <v>6.73</v>
      </c>
      <c r="H11" s="242"/>
      <c r="I11" s="243">
        <v>264.54000000000002</v>
      </c>
      <c r="J11" s="244">
        <v>6.9</v>
      </c>
      <c r="K11" s="87"/>
      <c r="L11" s="143">
        <v>282.02999999999997</v>
      </c>
      <c r="M11" s="144">
        <v>6.19</v>
      </c>
      <c r="N11" s="87"/>
      <c r="O11" s="89">
        <f t="shared" si="0"/>
        <v>0.16999999999999993</v>
      </c>
      <c r="P11" s="89">
        <f t="shared" si="1"/>
        <v>-0.71</v>
      </c>
    </row>
    <row r="12" spans="1:16" ht="16.5" customHeight="1">
      <c r="B12" s="28"/>
      <c r="C12" s="29" t="s">
        <v>0</v>
      </c>
      <c r="D12" s="11" t="s">
        <v>5</v>
      </c>
      <c r="E12" s="18"/>
      <c r="F12" s="192">
        <v>94.68</v>
      </c>
      <c r="G12" s="193">
        <v>2.94</v>
      </c>
      <c r="H12" s="194"/>
      <c r="I12" s="192">
        <v>122.15</v>
      </c>
      <c r="J12" s="193">
        <v>3.19</v>
      </c>
      <c r="K12" s="90"/>
      <c r="L12" s="145">
        <v>145.94</v>
      </c>
      <c r="M12" s="146">
        <v>3.2</v>
      </c>
      <c r="N12" s="90"/>
      <c r="O12" s="91">
        <f t="shared" si="0"/>
        <v>0.25</v>
      </c>
      <c r="P12" s="91">
        <f t="shared" si="1"/>
        <v>1.0000000000000231E-2</v>
      </c>
    </row>
    <row r="13" spans="1:16" ht="16.5" customHeight="1">
      <c r="B13" s="28"/>
      <c r="C13" s="29" t="s">
        <v>0</v>
      </c>
      <c r="D13" s="11" t="s">
        <v>6</v>
      </c>
      <c r="E13" s="18"/>
      <c r="F13" s="192">
        <v>66.38</v>
      </c>
      <c r="G13" s="193">
        <v>2.06</v>
      </c>
      <c r="H13" s="194"/>
      <c r="I13" s="192">
        <v>79.33</v>
      </c>
      <c r="J13" s="193">
        <v>2.0699999999999998</v>
      </c>
      <c r="K13" s="90"/>
      <c r="L13" s="145">
        <v>62.04</v>
      </c>
      <c r="M13" s="146">
        <v>1.36</v>
      </c>
      <c r="N13" s="90"/>
      <c r="O13" s="91">
        <f t="shared" si="0"/>
        <v>9.9999999999997868E-3</v>
      </c>
      <c r="P13" s="91">
        <f t="shared" si="1"/>
        <v>-0.70999999999999974</v>
      </c>
    </row>
    <row r="14" spans="1:16" ht="16.5" customHeight="1">
      <c r="B14" s="28"/>
      <c r="C14" s="29" t="s">
        <v>0</v>
      </c>
      <c r="D14" s="11" t="s">
        <v>7</v>
      </c>
      <c r="E14" s="18"/>
      <c r="F14" s="192">
        <v>38.83</v>
      </c>
      <c r="G14" s="193">
        <v>1.21</v>
      </c>
      <c r="H14" s="194"/>
      <c r="I14" s="192">
        <v>42.91</v>
      </c>
      <c r="J14" s="193">
        <v>1.1200000000000001</v>
      </c>
      <c r="K14" s="90"/>
      <c r="L14" s="145">
        <v>47.59</v>
      </c>
      <c r="M14" s="146">
        <v>1.04</v>
      </c>
      <c r="N14" s="90"/>
      <c r="O14" s="91">
        <f t="shared" si="0"/>
        <v>-8.9999999999999858E-2</v>
      </c>
      <c r="P14" s="91">
        <f t="shared" si="1"/>
        <v>-8.0000000000000071E-2</v>
      </c>
    </row>
    <row r="15" spans="1:16" ht="16.5" customHeight="1">
      <c r="B15" s="28"/>
      <c r="C15" s="29" t="s">
        <v>0</v>
      </c>
      <c r="D15" s="11" t="s">
        <v>217</v>
      </c>
      <c r="E15" s="18"/>
      <c r="F15" s="192">
        <v>16.82</v>
      </c>
      <c r="G15" s="193">
        <v>0.52</v>
      </c>
      <c r="H15" s="194"/>
      <c r="I15" s="192">
        <v>20.149999999999999</v>
      </c>
      <c r="J15" s="193">
        <v>0.53</v>
      </c>
      <c r="K15" s="90"/>
      <c r="L15" s="145">
        <v>26.46</v>
      </c>
      <c r="M15" s="146">
        <v>0.57999999999999996</v>
      </c>
      <c r="N15" s="90"/>
      <c r="O15" s="91">
        <f t="shared" si="0"/>
        <v>1.0000000000000009E-2</v>
      </c>
      <c r="P15" s="91">
        <f t="shared" si="1"/>
        <v>4.9999999999999933E-2</v>
      </c>
    </row>
    <row r="16" spans="1:16" ht="16.5" customHeight="1">
      <c r="B16" s="28"/>
      <c r="C16" s="275" t="s">
        <v>185</v>
      </c>
      <c r="D16" s="275"/>
      <c r="E16" s="137"/>
      <c r="F16" s="243">
        <v>593.41</v>
      </c>
      <c r="G16" s="244">
        <v>18.440000000000001</v>
      </c>
      <c r="H16" s="242"/>
      <c r="I16" s="243">
        <v>620.41</v>
      </c>
      <c r="J16" s="244">
        <v>16.18</v>
      </c>
      <c r="K16" s="87"/>
      <c r="L16" s="143">
        <v>657.89</v>
      </c>
      <c r="M16" s="144">
        <v>14.43</v>
      </c>
      <c r="N16" s="87"/>
      <c r="O16" s="89">
        <f t="shared" si="0"/>
        <v>-2.2600000000000016</v>
      </c>
      <c r="P16" s="89">
        <f t="shared" si="1"/>
        <v>-1.75</v>
      </c>
    </row>
    <row r="17" spans="2:16" ht="16.5" customHeight="1">
      <c r="B17" s="28"/>
      <c r="C17" s="29" t="s">
        <v>0</v>
      </c>
      <c r="D17" s="11" t="s">
        <v>9</v>
      </c>
      <c r="E17" s="18"/>
      <c r="F17" s="192">
        <v>118.83</v>
      </c>
      <c r="G17" s="193">
        <v>3.69</v>
      </c>
      <c r="H17" s="194"/>
      <c r="I17" s="192">
        <v>110.15</v>
      </c>
      <c r="J17" s="193">
        <v>2.87</v>
      </c>
      <c r="K17" s="90"/>
      <c r="L17" s="145">
        <v>96.94</v>
      </c>
      <c r="M17" s="146">
        <v>2.13</v>
      </c>
      <c r="N17" s="90"/>
      <c r="O17" s="91">
        <f t="shared" si="0"/>
        <v>-0.81999999999999984</v>
      </c>
      <c r="P17" s="91">
        <f t="shared" si="1"/>
        <v>-0.74000000000000021</v>
      </c>
    </row>
    <row r="18" spans="2:16" ht="16.5" customHeight="1">
      <c r="B18" s="28"/>
      <c r="C18" s="29" t="s">
        <v>0</v>
      </c>
      <c r="D18" s="11" t="s">
        <v>10</v>
      </c>
      <c r="E18" s="18"/>
      <c r="F18" s="192">
        <v>215.69</v>
      </c>
      <c r="G18" s="193">
        <v>6.7</v>
      </c>
      <c r="H18" s="194"/>
      <c r="I18" s="192">
        <v>245.38</v>
      </c>
      <c r="J18" s="193">
        <v>6.4</v>
      </c>
      <c r="K18" s="90"/>
      <c r="L18" s="145">
        <v>277.17</v>
      </c>
      <c r="M18" s="146">
        <v>6.08</v>
      </c>
      <c r="N18" s="90"/>
      <c r="O18" s="91">
        <f t="shared" si="0"/>
        <v>-0.29999999999999982</v>
      </c>
      <c r="P18" s="91">
        <f t="shared" si="1"/>
        <v>-0.32000000000000028</v>
      </c>
    </row>
    <row r="19" spans="2:16" ht="16.5" customHeight="1">
      <c r="B19" s="28"/>
      <c r="C19" s="29" t="s">
        <v>0</v>
      </c>
      <c r="D19" s="11" t="s">
        <v>11</v>
      </c>
      <c r="E19" s="18"/>
      <c r="F19" s="192">
        <v>36.020000000000003</v>
      </c>
      <c r="G19" s="193">
        <v>1.1200000000000001</v>
      </c>
      <c r="H19" s="194"/>
      <c r="I19" s="192">
        <v>39.68</v>
      </c>
      <c r="J19" s="193">
        <v>1.04</v>
      </c>
      <c r="K19" s="90"/>
      <c r="L19" s="145">
        <v>41.49</v>
      </c>
      <c r="M19" s="146">
        <v>0.91</v>
      </c>
      <c r="N19" s="90"/>
      <c r="O19" s="91">
        <f t="shared" si="0"/>
        <v>-8.0000000000000071E-2</v>
      </c>
      <c r="P19" s="91">
        <f t="shared" si="1"/>
        <v>-0.13</v>
      </c>
    </row>
    <row r="20" spans="2:16" ht="16.5" customHeight="1">
      <c r="B20" s="28"/>
      <c r="C20" s="29" t="s">
        <v>0</v>
      </c>
      <c r="D20" s="30" t="s">
        <v>12</v>
      </c>
      <c r="E20" s="19"/>
      <c r="F20" s="192">
        <v>140.63</v>
      </c>
      <c r="G20" s="193">
        <v>4.37</v>
      </c>
      <c r="H20" s="194"/>
      <c r="I20" s="192">
        <v>124.91</v>
      </c>
      <c r="J20" s="193">
        <v>3.26</v>
      </c>
      <c r="K20" s="90"/>
      <c r="L20" s="145">
        <v>136.65</v>
      </c>
      <c r="M20" s="146">
        <v>3</v>
      </c>
      <c r="N20" s="90"/>
      <c r="O20" s="91">
        <f t="shared" si="0"/>
        <v>-1.1100000000000003</v>
      </c>
      <c r="P20" s="91">
        <f t="shared" si="1"/>
        <v>-0.25999999999999979</v>
      </c>
    </row>
    <row r="21" spans="2:16" ht="16.5" customHeight="1">
      <c r="B21" s="28"/>
      <c r="C21" s="29" t="s">
        <v>0</v>
      </c>
      <c r="D21" s="11" t="s">
        <v>24</v>
      </c>
      <c r="E21" s="18"/>
      <c r="F21" s="192">
        <v>82.23</v>
      </c>
      <c r="G21" s="193">
        <v>2.56</v>
      </c>
      <c r="H21" s="194"/>
      <c r="I21" s="192">
        <v>100.29</v>
      </c>
      <c r="J21" s="193">
        <v>2.62</v>
      </c>
      <c r="K21" s="90"/>
      <c r="L21" s="145">
        <v>105.64</v>
      </c>
      <c r="M21" s="146">
        <v>2.3199999999999998</v>
      </c>
      <c r="N21" s="90"/>
      <c r="O21" s="91">
        <f t="shared" si="0"/>
        <v>6.0000000000000053E-2</v>
      </c>
      <c r="P21" s="91">
        <f t="shared" si="1"/>
        <v>-0.30000000000000027</v>
      </c>
    </row>
    <row r="22" spans="2:16" ht="16.5" customHeight="1">
      <c r="B22" s="28"/>
      <c r="C22" s="275" t="s">
        <v>282</v>
      </c>
      <c r="D22" s="275"/>
      <c r="E22" s="137"/>
      <c r="F22" s="243">
        <v>677.71</v>
      </c>
      <c r="G22" s="244">
        <v>21.06</v>
      </c>
      <c r="H22" s="242"/>
      <c r="I22" s="243">
        <v>760.87</v>
      </c>
      <c r="J22" s="244">
        <v>19.850000000000001</v>
      </c>
      <c r="K22" s="87"/>
      <c r="L22" s="143">
        <v>820.55</v>
      </c>
      <c r="M22" s="144">
        <v>18.010000000000002</v>
      </c>
      <c r="N22" s="87"/>
      <c r="O22" s="89">
        <f t="shared" si="0"/>
        <v>-1.2099999999999973</v>
      </c>
      <c r="P22" s="89">
        <f t="shared" si="1"/>
        <v>-1.8399999999999999</v>
      </c>
    </row>
    <row r="23" spans="2:16" ht="16.5" customHeight="1">
      <c r="B23" s="28"/>
      <c r="C23" s="29" t="s">
        <v>0</v>
      </c>
      <c r="D23" s="11" t="s">
        <v>245</v>
      </c>
      <c r="E23" s="18"/>
      <c r="F23" s="192">
        <v>268.54000000000002</v>
      </c>
      <c r="G23" s="193">
        <v>8.35</v>
      </c>
      <c r="H23" s="194"/>
      <c r="I23" s="192">
        <v>282.20999999999998</v>
      </c>
      <c r="J23" s="193">
        <v>7.36</v>
      </c>
      <c r="K23" s="90"/>
      <c r="L23" s="145">
        <v>314.67</v>
      </c>
      <c r="M23" s="146">
        <v>6.9</v>
      </c>
      <c r="N23" s="90"/>
      <c r="O23" s="91">
        <f t="shared" si="0"/>
        <v>-0.98999999999999932</v>
      </c>
      <c r="P23" s="91">
        <f t="shared" si="1"/>
        <v>-0.45999999999999996</v>
      </c>
    </row>
    <row r="24" spans="2:16" ht="16.5" customHeight="1">
      <c r="B24" s="28"/>
      <c r="C24" s="29" t="s">
        <v>0</v>
      </c>
      <c r="D24" s="11" t="s">
        <v>25</v>
      </c>
      <c r="E24" s="18"/>
      <c r="F24" s="192">
        <v>89.05</v>
      </c>
      <c r="G24" s="193">
        <v>2.77</v>
      </c>
      <c r="H24" s="194"/>
      <c r="I24" s="192">
        <v>95.67</v>
      </c>
      <c r="J24" s="193">
        <v>2.5</v>
      </c>
      <c r="K24" s="90"/>
      <c r="L24" s="145">
        <v>119.53</v>
      </c>
      <c r="M24" s="146">
        <v>2.62</v>
      </c>
      <c r="N24" s="90"/>
      <c r="O24" s="91">
        <f t="shared" si="0"/>
        <v>-0.27</v>
      </c>
      <c r="P24" s="91">
        <f t="shared" si="1"/>
        <v>0.12000000000000011</v>
      </c>
    </row>
    <row r="25" spans="2:16" ht="16.5" customHeight="1">
      <c r="B25" s="28"/>
      <c r="C25" s="29" t="s">
        <v>0</v>
      </c>
      <c r="D25" s="11" t="s">
        <v>26</v>
      </c>
      <c r="E25" s="18"/>
      <c r="F25" s="192">
        <v>111.42</v>
      </c>
      <c r="G25" s="193">
        <v>3.46</v>
      </c>
      <c r="H25" s="194"/>
      <c r="I25" s="192">
        <v>125.01</v>
      </c>
      <c r="J25" s="193">
        <v>3.26</v>
      </c>
      <c r="K25" s="90"/>
      <c r="L25" s="145">
        <v>148.15</v>
      </c>
      <c r="M25" s="146">
        <v>3.25</v>
      </c>
      <c r="N25" s="90"/>
      <c r="O25" s="91">
        <f t="shared" si="0"/>
        <v>-0.20000000000000018</v>
      </c>
      <c r="P25" s="91">
        <f t="shared" si="1"/>
        <v>-9.9999999999997868E-3</v>
      </c>
    </row>
    <row r="26" spans="2:16" ht="16.5" customHeight="1">
      <c r="B26" s="28"/>
      <c r="C26" s="29" t="s">
        <v>0</v>
      </c>
      <c r="D26" s="11" t="s">
        <v>27</v>
      </c>
      <c r="E26" s="18"/>
      <c r="F26" s="192">
        <v>208.7</v>
      </c>
      <c r="G26" s="193">
        <v>6.49</v>
      </c>
      <c r="H26" s="194"/>
      <c r="I26" s="192">
        <v>257.98</v>
      </c>
      <c r="J26" s="193">
        <v>6.73</v>
      </c>
      <c r="K26" s="90"/>
      <c r="L26" s="145">
        <v>238.2</v>
      </c>
      <c r="M26" s="146">
        <v>5.23</v>
      </c>
      <c r="N26" s="90"/>
      <c r="O26" s="91">
        <f t="shared" si="0"/>
        <v>0.24000000000000021</v>
      </c>
      <c r="P26" s="91">
        <f t="shared" si="1"/>
        <v>-1.5</v>
      </c>
    </row>
    <row r="27" spans="2:16" s="128" customFormat="1" ht="16.5" customHeight="1">
      <c r="B27" s="127"/>
      <c r="C27" s="275" t="s">
        <v>246</v>
      </c>
      <c r="D27" s="275"/>
      <c r="E27" s="137"/>
      <c r="F27" s="243">
        <v>37.25</v>
      </c>
      <c r="G27" s="244">
        <v>1.1599999999999999</v>
      </c>
      <c r="H27" s="242"/>
      <c r="I27" s="243">
        <v>61.2</v>
      </c>
      <c r="J27" s="244">
        <v>1.6</v>
      </c>
      <c r="K27" s="87"/>
      <c r="L27" s="143">
        <v>71.3</v>
      </c>
      <c r="M27" s="144">
        <v>1.56</v>
      </c>
      <c r="N27" s="87"/>
      <c r="O27" s="89">
        <f t="shared" si="0"/>
        <v>0.44000000000000017</v>
      </c>
      <c r="P27" s="89">
        <f t="shared" si="1"/>
        <v>-4.0000000000000036E-2</v>
      </c>
    </row>
    <row r="28" spans="2:16" ht="16.5" customHeight="1">
      <c r="B28" s="275" t="s">
        <v>283</v>
      </c>
      <c r="C28" s="275"/>
      <c r="D28" s="275"/>
      <c r="E28" s="137"/>
      <c r="F28" s="243">
        <v>100.7</v>
      </c>
      <c r="G28" s="244">
        <v>3.13</v>
      </c>
      <c r="H28" s="242"/>
      <c r="I28" s="243">
        <v>112.02</v>
      </c>
      <c r="J28" s="244">
        <v>2.92</v>
      </c>
      <c r="K28" s="87"/>
      <c r="L28" s="143">
        <v>125.24</v>
      </c>
      <c r="M28" s="144">
        <v>2.75</v>
      </c>
      <c r="N28" s="87"/>
      <c r="O28" s="89">
        <f t="shared" si="0"/>
        <v>-0.20999999999999996</v>
      </c>
      <c r="P28" s="89">
        <f t="shared" si="1"/>
        <v>-0.16999999999999993</v>
      </c>
    </row>
    <row r="29" spans="2:16" ht="16.5" customHeight="1">
      <c r="B29" s="28"/>
      <c r="C29" s="29" t="s">
        <v>0</v>
      </c>
      <c r="D29" s="11" t="s">
        <v>162</v>
      </c>
      <c r="E29" s="18"/>
      <c r="F29" s="192">
        <v>81.38</v>
      </c>
      <c r="G29" s="193">
        <v>2.5299999999999998</v>
      </c>
      <c r="H29" s="194"/>
      <c r="I29" s="192">
        <v>92.8</v>
      </c>
      <c r="J29" s="193">
        <v>2.42</v>
      </c>
      <c r="K29" s="90"/>
      <c r="L29" s="145">
        <v>91.65</v>
      </c>
      <c r="M29" s="146">
        <v>2.0099999999999998</v>
      </c>
      <c r="N29" s="90"/>
      <c r="O29" s="91">
        <f t="shared" si="0"/>
        <v>-0.10999999999999988</v>
      </c>
      <c r="P29" s="91">
        <f t="shared" si="1"/>
        <v>-0.41000000000000014</v>
      </c>
    </row>
    <row r="30" spans="2:16" ht="16.5" customHeight="1">
      <c r="B30" s="28"/>
      <c r="C30" s="29" t="s">
        <v>0</v>
      </c>
      <c r="D30" s="11" t="s">
        <v>43</v>
      </c>
      <c r="E30" s="18"/>
      <c r="F30" s="192">
        <v>19.309999999999999</v>
      </c>
      <c r="G30" s="193">
        <v>0.6</v>
      </c>
      <c r="H30" s="194"/>
      <c r="I30" s="192">
        <v>19.22</v>
      </c>
      <c r="J30" s="193">
        <v>0.5</v>
      </c>
      <c r="K30" s="90"/>
      <c r="L30" s="145">
        <v>33.58</v>
      </c>
      <c r="M30" s="146">
        <v>0.74</v>
      </c>
      <c r="N30" s="90"/>
      <c r="O30" s="91">
        <f t="shared" si="0"/>
        <v>-9.9999999999999978E-2</v>
      </c>
      <c r="P30" s="91">
        <f t="shared" si="1"/>
        <v>0.24</v>
      </c>
    </row>
    <row r="31" spans="2:16" ht="16.5" customHeight="1">
      <c r="B31" s="275" t="s">
        <v>15</v>
      </c>
      <c r="C31" s="275"/>
      <c r="D31" s="275"/>
      <c r="E31" s="137"/>
      <c r="F31" s="243">
        <v>194.88</v>
      </c>
      <c r="G31" s="244">
        <v>6.06</v>
      </c>
      <c r="H31" s="242"/>
      <c r="I31" s="243">
        <v>223.62</v>
      </c>
      <c r="J31" s="244">
        <v>5.83</v>
      </c>
      <c r="K31" s="87"/>
      <c r="L31" s="143">
        <v>281.2</v>
      </c>
      <c r="M31" s="144">
        <v>6.17</v>
      </c>
      <c r="N31" s="87"/>
      <c r="O31" s="89">
        <f t="shared" si="0"/>
        <v>-0.22999999999999954</v>
      </c>
      <c r="P31" s="89">
        <f t="shared" si="1"/>
        <v>0.33999999999999986</v>
      </c>
    </row>
    <row r="32" spans="2:16" ht="16.5" customHeight="1">
      <c r="B32" s="275" t="s">
        <v>52</v>
      </c>
      <c r="C32" s="276"/>
      <c r="D32" s="276"/>
      <c r="E32" s="20"/>
      <c r="F32" s="243">
        <v>1338.75</v>
      </c>
      <c r="G32" s="244">
        <v>41.6</v>
      </c>
      <c r="H32" s="242"/>
      <c r="I32" s="243">
        <v>1721.57</v>
      </c>
      <c r="J32" s="244">
        <v>44.91</v>
      </c>
      <c r="K32" s="87"/>
      <c r="L32" s="143">
        <v>2245.9</v>
      </c>
      <c r="M32" s="144">
        <v>49.28</v>
      </c>
      <c r="N32" s="87"/>
      <c r="O32" s="89">
        <f t="shared" si="0"/>
        <v>3.3099999999999952</v>
      </c>
      <c r="P32" s="89">
        <f t="shared" si="1"/>
        <v>4.3700000000000045</v>
      </c>
    </row>
    <row r="33" spans="2:16" ht="16.5" customHeight="1">
      <c r="B33" s="28"/>
      <c r="C33" s="275" t="s">
        <v>51</v>
      </c>
      <c r="D33" s="275"/>
      <c r="E33" s="137"/>
      <c r="F33" s="243">
        <v>323.17</v>
      </c>
      <c r="G33" s="244">
        <v>10.039999999999999</v>
      </c>
      <c r="H33" s="242"/>
      <c r="I33" s="243">
        <v>388.99</v>
      </c>
      <c r="J33" s="244">
        <v>10.15</v>
      </c>
      <c r="K33" s="87"/>
      <c r="L33" s="143">
        <v>498.38</v>
      </c>
      <c r="M33" s="144">
        <v>10.94</v>
      </c>
      <c r="N33" s="87"/>
      <c r="O33" s="89">
        <f t="shared" si="0"/>
        <v>0.11000000000000121</v>
      </c>
      <c r="P33" s="89">
        <f t="shared" si="1"/>
        <v>0.78999999999999915</v>
      </c>
    </row>
    <row r="34" spans="2:16" ht="16.5" customHeight="1">
      <c r="B34" s="28"/>
      <c r="C34" s="29" t="s">
        <v>0</v>
      </c>
      <c r="D34" s="11" t="s">
        <v>28</v>
      </c>
      <c r="E34" s="18"/>
      <c r="F34" s="192">
        <v>190.69</v>
      </c>
      <c r="G34" s="193">
        <v>5.93</v>
      </c>
      <c r="H34" s="194"/>
      <c r="I34" s="192">
        <v>247.65</v>
      </c>
      <c r="J34" s="193">
        <v>6.46</v>
      </c>
      <c r="K34" s="90"/>
      <c r="L34" s="145">
        <v>344.75</v>
      </c>
      <c r="M34" s="146">
        <v>7.56</v>
      </c>
      <c r="N34" s="90"/>
      <c r="O34" s="91">
        <f t="shared" si="0"/>
        <v>0.53000000000000025</v>
      </c>
      <c r="P34" s="91">
        <f t="shared" si="1"/>
        <v>1.0999999999999996</v>
      </c>
    </row>
    <row r="35" spans="2:16" ht="16.5" customHeight="1">
      <c r="B35" s="28"/>
      <c r="C35" s="29" t="s">
        <v>0</v>
      </c>
      <c r="D35" s="11" t="s">
        <v>17</v>
      </c>
      <c r="E35" s="18"/>
      <c r="F35" s="192">
        <v>132.47999999999999</v>
      </c>
      <c r="G35" s="193">
        <v>4.12</v>
      </c>
      <c r="H35" s="194"/>
      <c r="I35" s="192">
        <v>141.34</v>
      </c>
      <c r="J35" s="193">
        <v>3.69</v>
      </c>
      <c r="K35" s="90"/>
      <c r="L35" s="145">
        <v>153.63</v>
      </c>
      <c r="M35" s="146">
        <v>3.37</v>
      </c>
      <c r="N35" s="90"/>
      <c r="O35" s="91">
        <f t="shared" si="0"/>
        <v>-0.43000000000000016</v>
      </c>
      <c r="P35" s="91">
        <f t="shared" si="1"/>
        <v>-0.31999999999999984</v>
      </c>
    </row>
    <row r="36" spans="2:16" ht="16.5" customHeight="1">
      <c r="B36" s="28"/>
      <c r="C36" s="275" t="s">
        <v>50</v>
      </c>
      <c r="D36" s="275"/>
      <c r="E36" s="137"/>
      <c r="F36" s="243">
        <v>575.95000000000005</v>
      </c>
      <c r="G36" s="244">
        <v>17.899999999999999</v>
      </c>
      <c r="H36" s="242"/>
      <c r="I36" s="243">
        <v>746.84</v>
      </c>
      <c r="J36" s="244">
        <v>19.48</v>
      </c>
      <c r="K36" s="87"/>
      <c r="L36" s="143">
        <v>1001.34</v>
      </c>
      <c r="M36" s="144">
        <v>21.97</v>
      </c>
      <c r="N36" s="87"/>
      <c r="O36" s="89">
        <f t="shared" si="0"/>
        <v>1.5800000000000018</v>
      </c>
      <c r="P36" s="89">
        <f t="shared" si="1"/>
        <v>2.4899999999999984</v>
      </c>
    </row>
    <row r="37" spans="2:16" ht="16.5" customHeight="1">
      <c r="B37" s="28"/>
      <c r="C37" s="29" t="s">
        <v>0</v>
      </c>
      <c r="D37" s="11" t="s">
        <v>29</v>
      </c>
      <c r="E37" s="18"/>
      <c r="F37" s="192">
        <v>110.25</v>
      </c>
      <c r="G37" s="193">
        <v>3.43</v>
      </c>
      <c r="H37" s="194"/>
      <c r="I37" s="192">
        <v>135.41</v>
      </c>
      <c r="J37" s="193">
        <v>3.53</v>
      </c>
      <c r="K37" s="90"/>
      <c r="L37" s="145">
        <v>171.29</v>
      </c>
      <c r="M37" s="146">
        <v>3.76</v>
      </c>
      <c r="N37" s="90"/>
      <c r="O37" s="91">
        <f t="shared" si="0"/>
        <v>9.9999999999999645E-2</v>
      </c>
      <c r="P37" s="91">
        <f t="shared" si="1"/>
        <v>0.22999999999999998</v>
      </c>
    </row>
    <row r="38" spans="2:16" ht="16.5" customHeight="1">
      <c r="B38" s="28"/>
      <c r="C38" s="29" t="s">
        <v>0</v>
      </c>
      <c r="D38" s="11" t="s">
        <v>30</v>
      </c>
      <c r="E38" s="18"/>
      <c r="F38" s="192">
        <v>137.09</v>
      </c>
      <c r="G38" s="193">
        <v>4.26</v>
      </c>
      <c r="H38" s="194"/>
      <c r="I38" s="192">
        <v>156.93</v>
      </c>
      <c r="J38" s="193">
        <v>4.09</v>
      </c>
      <c r="K38" s="90"/>
      <c r="L38" s="145">
        <v>192.41</v>
      </c>
      <c r="M38" s="146">
        <v>4.22</v>
      </c>
      <c r="N38" s="90"/>
      <c r="O38" s="91">
        <f t="shared" si="0"/>
        <v>-0.16999999999999993</v>
      </c>
      <c r="P38" s="91">
        <f t="shared" si="1"/>
        <v>0.12999999999999989</v>
      </c>
    </row>
    <row r="39" spans="2:16" ht="16.5" customHeight="1">
      <c r="B39" s="28"/>
      <c r="C39" s="29" t="s">
        <v>0</v>
      </c>
      <c r="D39" s="11" t="s">
        <v>31</v>
      </c>
      <c r="E39" s="18"/>
      <c r="F39" s="192">
        <v>142.86000000000001</v>
      </c>
      <c r="G39" s="193">
        <v>4.4400000000000004</v>
      </c>
      <c r="H39" s="194"/>
      <c r="I39" s="192">
        <v>191.5</v>
      </c>
      <c r="J39" s="193">
        <v>5</v>
      </c>
      <c r="K39" s="90"/>
      <c r="L39" s="145">
        <v>262.77999999999997</v>
      </c>
      <c r="M39" s="146">
        <v>5.77</v>
      </c>
      <c r="N39" s="90"/>
      <c r="O39" s="91">
        <f t="shared" si="0"/>
        <v>0.55999999999999961</v>
      </c>
      <c r="P39" s="91">
        <f t="shared" si="1"/>
        <v>0.76999999999999957</v>
      </c>
    </row>
    <row r="40" spans="2:16" ht="16.5" customHeight="1">
      <c r="B40" s="28"/>
      <c r="C40" s="29" t="s">
        <v>0</v>
      </c>
      <c r="D40" s="11" t="s">
        <v>32</v>
      </c>
      <c r="E40" s="18"/>
      <c r="F40" s="192">
        <v>133.88999999999999</v>
      </c>
      <c r="G40" s="193">
        <v>4.16</v>
      </c>
      <c r="H40" s="194"/>
      <c r="I40" s="192">
        <v>186.52</v>
      </c>
      <c r="J40" s="193">
        <v>4.87</v>
      </c>
      <c r="K40" s="90"/>
      <c r="L40" s="145">
        <v>260.89</v>
      </c>
      <c r="M40" s="146">
        <v>5.72</v>
      </c>
      <c r="N40" s="90"/>
      <c r="O40" s="91">
        <f t="shared" si="0"/>
        <v>0.71</v>
      </c>
      <c r="P40" s="91">
        <f t="shared" si="1"/>
        <v>0.84999999999999964</v>
      </c>
    </row>
    <row r="41" spans="2:16" ht="16.5" customHeight="1">
      <c r="B41" s="28"/>
      <c r="C41" s="29" t="s">
        <v>0</v>
      </c>
      <c r="D41" s="11" t="s">
        <v>33</v>
      </c>
      <c r="E41" s="18"/>
      <c r="F41" s="192">
        <v>51.86</v>
      </c>
      <c r="G41" s="193">
        <v>1.61</v>
      </c>
      <c r="H41" s="194"/>
      <c r="I41" s="192">
        <v>76.48</v>
      </c>
      <c r="J41" s="193">
        <v>2</v>
      </c>
      <c r="K41" s="90"/>
      <c r="L41" s="145">
        <v>113.97</v>
      </c>
      <c r="M41" s="146">
        <v>2.5</v>
      </c>
      <c r="N41" s="90"/>
      <c r="O41" s="91">
        <f t="shared" si="0"/>
        <v>0.3899999999999999</v>
      </c>
      <c r="P41" s="91">
        <f t="shared" si="1"/>
        <v>0.5</v>
      </c>
    </row>
    <row r="42" spans="2:16" ht="16.5" customHeight="1">
      <c r="B42" s="28"/>
      <c r="C42" s="275" t="s">
        <v>49</v>
      </c>
      <c r="D42" s="275"/>
      <c r="E42" s="137"/>
      <c r="F42" s="243">
        <v>269.95999999999998</v>
      </c>
      <c r="G42" s="244">
        <v>8.39</v>
      </c>
      <c r="H42" s="242"/>
      <c r="I42" s="243">
        <v>359.33</v>
      </c>
      <c r="J42" s="244">
        <v>9.3699999999999992</v>
      </c>
      <c r="K42" s="87"/>
      <c r="L42" s="143">
        <v>474.36</v>
      </c>
      <c r="M42" s="144">
        <v>10.41</v>
      </c>
      <c r="N42" s="87"/>
      <c r="O42" s="89">
        <f t="shared" si="0"/>
        <v>0.97999999999999865</v>
      </c>
      <c r="P42" s="89">
        <f t="shared" si="1"/>
        <v>1.0400000000000009</v>
      </c>
    </row>
    <row r="43" spans="2:16" ht="16.5" customHeight="1">
      <c r="B43" s="28"/>
      <c r="C43" s="29" t="s">
        <v>0</v>
      </c>
      <c r="D43" s="11" t="s">
        <v>34</v>
      </c>
      <c r="E43" s="18"/>
      <c r="F43" s="192">
        <v>90.32</v>
      </c>
      <c r="G43" s="193">
        <v>2.81</v>
      </c>
      <c r="H43" s="194"/>
      <c r="I43" s="192">
        <v>123.38</v>
      </c>
      <c r="J43" s="193">
        <v>3.22</v>
      </c>
      <c r="K43" s="90"/>
      <c r="L43" s="145">
        <v>168.26</v>
      </c>
      <c r="M43" s="146">
        <v>3.69</v>
      </c>
      <c r="N43" s="90"/>
      <c r="O43" s="91">
        <f t="shared" si="0"/>
        <v>0.41000000000000014</v>
      </c>
      <c r="P43" s="91">
        <f t="shared" si="1"/>
        <v>0.46999999999999975</v>
      </c>
    </row>
    <row r="44" spans="2:16" ht="16.5" customHeight="1">
      <c r="B44" s="28"/>
      <c r="C44" s="29" t="s">
        <v>0</v>
      </c>
      <c r="D44" s="11" t="s">
        <v>20</v>
      </c>
      <c r="E44" s="18"/>
      <c r="F44" s="192">
        <v>93.47</v>
      </c>
      <c r="G44" s="193">
        <v>2.9</v>
      </c>
      <c r="H44" s="194"/>
      <c r="I44" s="192">
        <v>116.33</v>
      </c>
      <c r="J44" s="193">
        <v>3.03</v>
      </c>
      <c r="K44" s="90"/>
      <c r="L44" s="145">
        <v>126.3</v>
      </c>
      <c r="M44" s="146">
        <v>2.77</v>
      </c>
      <c r="N44" s="90"/>
      <c r="O44" s="91">
        <f t="shared" si="0"/>
        <v>0.12999999999999989</v>
      </c>
      <c r="P44" s="91">
        <f t="shared" si="1"/>
        <v>-0.25999999999999979</v>
      </c>
    </row>
    <row r="45" spans="2:16" ht="16.5" customHeight="1">
      <c r="B45" s="28"/>
      <c r="C45" s="29" t="s">
        <v>0</v>
      </c>
      <c r="D45" s="11" t="s">
        <v>21</v>
      </c>
      <c r="E45" s="18"/>
      <c r="F45" s="192">
        <v>86.18</v>
      </c>
      <c r="G45" s="193">
        <v>2.68</v>
      </c>
      <c r="H45" s="194"/>
      <c r="I45" s="192">
        <v>119.62</v>
      </c>
      <c r="J45" s="193">
        <v>3.12</v>
      </c>
      <c r="K45" s="90"/>
      <c r="L45" s="145">
        <v>179.8</v>
      </c>
      <c r="M45" s="146">
        <v>3.95</v>
      </c>
      <c r="N45" s="90"/>
      <c r="O45" s="91">
        <f t="shared" si="0"/>
        <v>0.43999999999999995</v>
      </c>
      <c r="P45" s="91">
        <f t="shared" si="1"/>
        <v>0.83000000000000007</v>
      </c>
    </row>
    <row r="46" spans="2:16" ht="16.5" customHeight="1">
      <c r="B46" s="28"/>
      <c r="C46" s="275" t="s">
        <v>48</v>
      </c>
      <c r="D46" s="275"/>
      <c r="E46" s="137"/>
      <c r="F46" s="243">
        <v>169.66</v>
      </c>
      <c r="G46" s="244">
        <v>5.27</v>
      </c>
      <c r="H46" s="242"/>
      <c r="I46" s="243">
        <v>226.41</v>
      </c>
      <c r="J46" s="244">
        <v>5.91</v>
      </c>
      <c r="K46" s="87"/>
      <c r="L46" s="143">
        <v>271.82</v>
      </c>
      <c r="M46" s="144">
        <v>5.96</v>
      </c>
      <c r="N46" s="87"/>
      <c r="O46" s="89">
        <f t="shared" si="0"/>
        <v>0.64000000000000057</v>
      </c>
      <c r="P46" s="89">
        <f t="shared" si="1"/>
        <v>4.9999999999999822E-2</v>
      </c>
    </row>
    <row r="47" spans="2:16" ht="16.5" customHeight="1">
      <c r="B47" s="28"/>
      <c r="C47" s="29" t="s">
        <v>0</v>
      </c>
      <c r="D47" s="11" t="s">
        <v>23</v>
      </c>
      <c r="E47" s="18"/>
      <c r="F47" s="192">
        <v>93.98</v>
      </c>
      <c r="G47" s="193">
        <v>2.92</v>
      </c>
      <c r="H47" s="194"/>
      <c r="I47" s="192">
        <v>131.93</v>
      </c>
      <c r="J47" s="193">
        <v>3.44</v>
      </c>
      <c r="K47" s="90"/>
      <c r="L47" s="145">
        <v>160.58000000000001</v>
      </c>
      <c r="M47" s="146">
        <v>3.52</v>
      </c>
      <c r="N47" s="90"/>
      <c r="O47" s="91">
        <f t="shared" si="0"/>
        <v>0.52</v>
      </c>
      <c r="P47" s="91">
        <f t="shared" si="1"/>
        <v>8.0000000000000071E-2</v>
      </c>
    </row>
    <row r="48" spans="2:16" ht="16.5" customHeight="1">
      <c r="B48" s="28"/>
      <c r="C48" s="29" t="s">
        <v>0</v>
      </c>
      <c r="D48" s="11" t="s">
        <v>35</v>
      </c>
      <c r="E48" s="18"/>
      <c r="F48" s="192">
        <v>36.44</v>
      </c>
      <c r="G48" s="193">
        <v>1.1299999999999999</v>
      </c>
      <c r="H48" s="194"/>
      <c r="I48" s="192">
        <v>40.29</v>
      </c>
      <c r="J48" s="193">
        <v>1.05</v>
      </c>
      <c r="K48" s="90"/>
      <c r="L48" s="145">
        <v>42.53</v>
      </c>
      <c r="M48" s="147">
        <v>0.93</v>
      </c>
      <c r="N48" s="90"/>
      <c r="O48" s="91">
        <f t="shared" si="0"/>
        <v>-7.9999999999999849E-2</v>
      </c>
      <c r="P48" s="91">
        <f t="shared" si="1"/>
        <v>-0.12</v>
      </c>
    </row>
    <row r="49" spans="2:17" ht="16.5" customHeight="1">
      <c r="B49" s="8"/>
      <c r="C49" s="9"/>
      <c r="D49" s="11" t="s">
        <v>36</v>
      </c>
      <c r="E49" s="18"/>
      <c r="F49" s="195">
        <v>39.24</v>
      </c>
      <c r="G49" s="196">
        <v>1.22</v>
      </c>
      <c r="H49" s="197"/>
      <c r="I49" s="195">
        <v>54.19</v>
      </c>
      <c r="J49" s="196">
        <v>1.41</v>
      </c>
      <c r="K49" s="92"/>
      <c r="L49" s="148">
        <v>68.709999999999994</v>
      </c>
      <c r="M49" s="147">
        <v>1.51</v>
      </c>
      <c r="N49" s="92"/>
      <c r="O49" s="91">
        <f t="shared" si="0"/>
        <v>0.18999999999999995</v>
      </c>
      <c r="P49" s="91">
        <f t="shared" si="1"/>
        <v>0.10000000000000009</v>
      </c>
      <c r="Q49" s="10"/>
    </row>
    <row r="50" spans="2:17" ht="16.5" customHeight="1">
      <c r="B50" s="276" t="s">
        <v>169</v>
      </c>
      <c r="C50" s="276"/>
      <c r="D50" s="276"/>
      <c r="E50" s="21"/>
      <c r="F50" s="245">
        <v>0</v>
      </c>
      <c r="G50" s="246">
        <v>0</v>
      </c>
      <c r="H50" s="242"/>
      <c r="I50" s="245">
        <v>3.82</v>
      </c>
      <c r="J50" s="246">
        <v>0.1</v>
      </c>
      <c r="K50" s="87"/>
      <c r="L50" s="149">
        <v>4.8</v>
      </c>
      <c r="M50" s="150">
        <v>0.11</v>
      </c>
      <c r="N50" s="87"/>
      <c r="O50" s="93">
        <f t="shared" si="0"/>
        <v>0.1</v>
      </c>
      <c r="P50" s="93">
        <f t="shared" si="1"/>
        <v>9.999999999999995E-3</v>
      </c>
    </row>
    <row r="51" spans="2:17" ht="16.5" customHeight="1" thickBot="1">
      <c r="B51" s="277" t="s">
        <v>65</v>
      </c>
      <c r="C51" s="277"/>
      <c r="D51" s="277"/>
      <c r="E51" s="22"/>
      <c r="F51" s="247">
        <v>3217.83</v>
      </c>
      <c r="G51" s="248">
        <v>100</v>
      </c>
      <c r="H51" s="249"/>
      <c r="I51" s="247">
        <v>3833.56</v>
      </c>
      <c r="J51" s="248">
        <v>100</v>
      </c>
      <c r="K51" s="94"/>
      <c r="L51" s="151">
        <v>4557.24</v>
      </c>
      <c r="M51" s="152">
        <v>100</v>
      </c>
      <c r="N51" s="94"/>
      <c r="O51" s="95">
        <f t="shared" si="0"/>
        <v>0</v>
      </c>
      <c r="P51" s="95">
        <f t="shared" si="1"/>
        <v>0</v>
      </c>
    </row>
    <row r="52" spans="2:17" ht="9" customHeight="1" thickTop="1"/>
    <row r="53" spans="2:17">
      <c r="D53" s="12" t="s">
        <v>247</v>
      </c>
      <c r="E53" s="24"/>
    </row>
    <row r="54" spans="2:17">
      <c r="D54" s="31"/>
    </row>
  </sheetData>
  <mergeCells count="23">
    <mergeCell ref="O6:P6"/>
    <mergeCell ref="C27:D27"/>
    <mergeCell ref="B7:D7"/>
    <mergeCell ref="C22:D22"/>
    <mergeCell ref="F6:G6"/>
    <mergeCell ref="I6:J6"/>
    <mergeCell ref="L6:M6"/>
    <mergeCell ref="C46:D46"/>
    <mergeCell ref="B50:D50"/>
    <mergeCell ref="B51:D51"/>
    <mergeCell ref="B3:P3"/>
    <mergeCell ref="B4:P4"/>
    <mergeCell ref="B28:D28"/>
    <mergeCell ref="B31:D31"/>
    <mergeCell ref="B32:D32"/>
    <mergeCell ref="C33:D33"/>
    <mergeCell ref="C36:D36"/>
    <mergeCell ref="C42:D42"/>
    <mergeCell ref="B8:D8"/>
    <mergeCell ref="B9:D9"/>
    <mergeCell ref="B10:D10"/>
    <mergeCell ref="C11:D11"/>
    <mergeCell ref="C16:D16"/>
  </mergeCells>
  <phoneticPr fontId="1" type="noConversion"/>
  <hyperlinks>
    <hyperlink ref="A1" location="목차!A1" display="(목차로 이동)" xr:uid="{00000000-0004-0000-0100-000000000000}"/>
  </hyperlinks>
  <pageMargins left="0.23622047244094491" right="0.23622047244094491" top="0.74803149606299213" bottom="0.74803149606299213" header="0.31496062992125984" footer="0.31496062992125984"/>
  <pageSetup paperSize="9" scale="75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5" tint="0.79998168889431442"/>
  </sheetPr>
  <dimension ref="A1:Q54"/>
  <sheetViews>
    <sheetView view="pageBreakPreview" zoomScaleNormal="100" zoomScaleSheetLayoutView="100" workbookViewId="0">
      <selection activeCell="I21" sqref="I21"/>
    </sheetView>
  </sheetViews>
  <sheetFormatPr defaultRowHeight="16.5"/>
  <cols>
    <col min="1" max="1" width="2.625" customWidth="1"/>
    <col min="2" max="2" width="2.125" customWidth="1"/>
    <col min="3" max="3" width="2.125" style="7" customWidth="1"/>
    <col min="4" max="4" width="26.625" style="7" customWidth="1"/>
    <col min="5" max="5" width="1.625" style="15" customWidth="1"/>
    <col min="6" max="6" width="11" customWidth="1"/>
    <col min="7" max="7" width="10" customWidth="1"/>
    <col min="8" max="8" width="1.625" customWidth="1"/>
    <col min="9" max="9" width="11.125" style="23" customWidth="1"/>
    <col min="10" max="10" width="10" style="23" customWidth="1"/>
    <col min="11" max="11" width="1.625" customWidth="1"/>
    <col min="12" max="12" width="11" customWidth="1"/>
    <col min="13" max="13" width="10" customWidth="1"/>
    <col min="14" max="14" width="1.625" customWidth="1"/>
    <col min="15" max="16" width="9.625" customWidth="1"/>
  </cols>
  <sheetData>
    <row r="1" spans="1:16" ht="16.5" customHeight="1">
      <c r="A1" s="32" t="s">
        <v>46</v>
      </c>
    </row>
    <row r="2" spans="1:16" ht="6" customHeight="1">
      <c r="A2" s="32"/>
    </row>
    <row r="3" spans="1:16" ht="18">
      <c r="B3" s="278" t="s">
        <v>152</v>
      </c>
      <c r="C3" s="279"/>
      <c r="D3" s="279"/>
      <c r="E3" s="279"/>
      <c r="F3" s="279"/>
      <c r="G3" s="279"/>
      <c r="H3" s="279"/>
      <c r="I3" s="279"/>
      <c r="J3" s="279"/>
      <c r="K3" s="279"/>
      <c r="L3" s="279"/>
      <c r="M3" s="279"/>
      <c r="N3" s="279"/>
      <c r="O3" s="279"/>
      <c r="P3" s="279"/>
    </row>
    <row r="4" spans="1:16" ht="18.75" customHeight="1">
      <c r="B4" s="280" t="s">
        <v>153</v>
      </c>
      <c r="C4" s="280"/>
      <c r="D4" s="280"/>
      <c r="E4" s="280"/>
      <c r="F4" s="280"/>
      <c r="G4" s="280"/>
      <c r="H4" s="280"/>
      <c r="I4" s="280"/>
      <c r="J4" s="280"/>
      <c r="K4" s="280"/>
      <c r="L4" s="280"/>
      <c r="M4" s="280"/>
      <c r="N4" s="280"/>
      <c r="O4" s="280"/>
      <c r="P4" s="280"/>
    </row>
    <row r="5" spans="1:16" ht="8.25" customHeight="1" thickBot="1">
      <c r="C5" s="103"/>
      <c r="D5" s="103"/>
      <c r="E5" s="16"/>
      <c r="I5"/>
      <c r="J5"/>
    </row>
    <row r="6" spans="1:16" ht="24" customHeight="1" thickTop="1">
      <c r="B6" s="69"/>
      <c r="C6" s="70"/>
      <c r="D6" s="70"/>
      <c r="E6" s="17"/>
      <c r="F6" s="282" t="s">
        <v>286</v>
      </c>
      <c r="G6" s="282"/>
      <c r="H6" s="3" t="s">
        <v>0</v>
      </c>
      <c r="I6" s="284" t="s">
        <v>289</v>
      </c>
      <c r="J6" s="284"/>
      <c r="K6" s="3" t="s">
        <v>0</v>
      </c>
      <c r="L6" s="285" t="s">
        <v>287</v>
      </c>
      <c r="M6" s="285"/>
      <c r="N6" s="3" t="s">
        <v>0</v>
      </c>
      <c r="O6" s="282" t="s">
        <v>40</v>
      </c>
      <c r="P6" s="282"/>
    </row>
    <row r="7" spans="1:16" ht="24" customHeight="1" thickBot="1">
      <c r="B7" s="283" t="s">
        <v>0</v>
      </c>
      <c r="C7" s="283"/>
      <c r="D7" s="283"/>
      <c r="E7" s="16" t="s">
        <v>0</v>
      </c>
      <c r="F7" s="154" t="s">
        <v>41</v>
      </c>
      <c r="G7" s="154" t="s">
        <v>288</v>
      </c>
      <c r="H7" s="1" t="s">
        <v>0</v>
      </c>
      <c r="I7" s="155" t="s">
        <v>41</v>
      </c>
      <c r="J7" s="155" t="s">
        <v>253</v>
      </c>
      <c r="K7" s="1" t="s">
        <v>0</v>
      </c>
      <c r="L7" s="156" t="s">
        <v>41</v>
      </c>
      <c r="M7" s="156" t="s">
        <v>250</v>
      </c>
      <c r="N7" s="1" t="s">
        <v>0</v>
      </c>
      <c r="O7" s="154" t="s">
        <v>154</v>
      </c>
      <c r="P7" s="154" t="s">
        <v>155</v>
      </c>
    </row>
    <row r="8" spans="1:16" ht="16.5" customHeight="1" thickTop="1">
      <c r="B8" s="281" t="s">
        <v>1</v>
      </c>
      <c r="C8" s="281"/>
      <c r="D8" s="281"/>
      <c r="E8" s="104" t="s">
        <v>0</v>
      </c>
      <c r="F8" s="240">
        <v>28.32</v>
      </c>
      <c r="G8" s="241">
        <v>2.1800000000000002</v>
      </c>
      <c r="H8" s="242"/>
      <c r="I8" s="240">
        <v>33.26</v>
      </c>
      <c r="J8" s="241">
        <v>2.0299999999999998</v>
      </c>
      <c r="K8" s="242"/>
      <c r="L8" s="141">
        <v>32.520000000000003</v>
      </c>
      <c r="M8" s="142">
        <v>1.6</v>
      </c>
      <c r="N8" s="242"/>
      <c r="O8" s="250">
        <f t="shared" ref="O8:O51" si="0">J8-G8</f>
        <v>-0.15000000000000036</v>
      </c>
      <c r="P8" s="250">
        <f t="shared" ref="P8:P51" si="1">M8-J8</f>
        <v>-0.42999999999999972</v>
      </c>
    </row>
    <row r="9" spans="1:16" ht="16.5" customHeight="1">
      <c r="B9" s="275" t="s">
        <v>2</v>
      </c>
      <c r="C9" s="275"/>
      <c r="D9" s="275"/>
      <c r="E9" s="104" t="s">
        <v>0</v>
      </c>
      <c r="F9" s="243">
        <v>1.86</v>
      </c>
      <c r="G9" s="244">
        <v>0.14000000000000001</v>
      </c>
      <c r="H9" s="242"/>
      <c r="I9" s="243">
        <v>2.14</v>
      </c>
      <c r="J9" s="244">
        <v>0.13</v>
      </c>
      <c r="K9" s="242"/>
      <c r="L9" s="143">
        <v>1.67</v>
      </c>
      <c r="M9" s="144">
        <v>0.08</v>
      </c>
      <c r="N9" s="242"/>
      <c r="O9" s="251">
        <f t="shared" si="0"/>
        <v>-1.0000000000000009E-2</v>
      </c>
      <c r="P9" s="251">
        <f t="shared" si="1"/>
        <v>-0.05</v>
      </c>
    </row>
    <row r="10" spans="1:16" ht="16.5" customHeight="1">
      <c r="B10" s="275" t="s">
        <v>156</v>
      </c>
      <c r="C10" s="275"/>
      <c r="D10" s="275"/>
      <c r="E10" s="104" t="s">
        <v>0</v>
      </c>
      <c r="F10" s="243">
        <v>400.58</v>
      </c>
      <c r="G10" s="244">
        <v>30.77</v>
      </c>
      <c r="H10" s="242"/>
      <c r="I10" s="243">
        <v>482.9</v>
      </c>
      <c r="J10" s="244">
        <v>29.49</v>
      </c>
      <c r="K10" s="242"/>
      <c r="L10" s="143">
        <v>528.30999999999995</v>
      </c>
      <c r="M10" s="144">
        <v>25.95</v>
      </c>
      <c r="N10" s="242"/>
      <c r="O10" s="251">
        <f t="shared" si="0"/>
        <v>-1.2800000000000011</v>
      </c>
      <c r="P10" s="251">
        <f t="shared" si="1"/>
        <v>-3.5399999999999991</v>
      </c>
    </row>
    <row r="11" spans="1:16" ht="16.5" customHeight="1">
      <c r="B11" s="28"/>
      <c r="C11" s="275" t="s">
        <v>157</v>
      </c>
      <c r="D11" s="275"/>
      <c r="E11" s="104" t="s">
        <v>0</v>
      </c>
      <c r="F11" s="243">
        <v>54.05</v>
      </c>
      <c r="G11" s="244">
        <v>4.1500000000000004</v>
      </c>
      <c r="H11" s="242"/>
      <c r="I11" s="243">
        <v>65</v>
      </c>
      <c r="J11" s="244">
        <v>3.97</v>
      </c>
      <c r="K11" s="242"/>
      <c r="L11" s="143">
        <v>73.11</v>
      </c>
      <c r="M11" s="144">
        <v>3.59</v>
      </c>
      <c r="N11" s="242"/>
      <c r="O11" s="251">
        <f t="shared" si="0"/>
        <v>-0.18000000000000016</v>
      </c>
      <c r="P11" s="251">
        <f t="shared" si="1"/>
        <v>-0.38000000000000034</v>
      </c>
    </row>
    <row r="12" spans="1:16" ht="16.5" customHeight="1">
      <c r="B12" s="28"/>
      <c r="C12" s="29" t="s">
        <v>0</v>
      </c>
      <c r="D12" s="11" t="s">
        <v>5</v>
      </c>
      <c r="E12" s="18" t="s">
        <v>0</v>
      </c>
      <c r="F12" s="192">
        <v>23.51</v>
      </c>
      <c r="G12" s="193">
        <v>1.81</v>
      </c>
      <c r="H12" s="194"/>
      <c r="I12" s="192">
        <v>30.65</v>
      </c>
      <c r="J12" s="193">
        <v>1.87</v>
      </c>
      <c r="K12" s="194"/>
      <c r="L12" s="145">
        <v>37.6</v>
      </c>
      <c r="M12" s="146">
        <v>1.85</v>
      </c>
      <c r="N12" s="194"/>
      <c r="O12" s="252">
        <f t="shared" si="0"/>
        <v>6.0000000000000053E-2</v>
      </c>
      <c r="P12" s="252">
        <f t="shared" si="1"/>
        <v>-2.0000000000000018E-2</v>
      </c>
    </row>
    <row r="13" spans="1:16" ht="16.5" customHeight="1">
      <c r="B13" s="28"/>
      <c r="C13" s="29" t="s">
        <v>0</v>
      </c>
      <c r="D13" s="11" t="s">
        <v>6</v>
      </c>
      <c r="E13" s="18" t="s">
        <v>0</v>
      </c>
      <c r="F13" s="192">
        <v>14.49</v>
      </c>
      <c r="G13" s="193">
        <v>1.1100000000000001</v>
      </c>
      <c r="H13" s="194"/>
      <c r="I13" s="192">
        <v>15.35</v>
      </c>
      <c r="J13" s="193">
        <v>0.94</v>
      </c>
      <c r="K13" s="194"/>
      <c r="L13" s="145">
        <v>13.54</v>
      </c>
      <c r="M13" s="146">
        <v>0.67</v>
      </c>
      <c r="N13" s="194"/>
      <c r="O13" s="252">
        <f t="shared" si="0"/>
        <v>-0.17000000000000015</v>
      </c>
      <c r="P13" s="252">
        <f t="shared" si="1"/>
        <v>-0.26999999999999991</v>
      </c>
    </row>
    <row r="14" spans="1:16" ht="16.5" customHeight="1">
      <c r="B14" s="28"/>
      <c r="C14" s="29" t="s">
        <v>0</v>
      </c>
      <c r="D14" s="11" t="s">
        <v>7</v>
      </c>
      <c r="E14" s="18" t="s">
        <v>0</v>
      </c>
      <c r="F14" s="192">
        <v>11.21</v>
      </c>
      <c r="G14" s="193">
        <v>0.86</v>
      </c>
      <c r="H14" s="194"/>
      <c r="I14" s="192">
        <v>13.37</v>
      </c>
      <c r="J14" s="193">
        <v>0.82</v>
      </c>
      <c r="K14" s="194"/>
      <c r="L14" s="145">
        <v>14.17</v>
      </c>
      <c r="M14" s="146">
        <v>0.7</v>
      </c>
      <c r="N14" s="194"/>
      <c r="O14" s="252">
        <f t="shared" si="0"/>
        <v>-4.0000000000000036E-2</v>
      </c>
      <c r="P14" s="252">
        <f t="shared" si="1"/>
        <v>-0.12</v>
      </c>
    </row>
    <row r="15" spans="1:16" ht="16.5" customHeight="1">
      <c r="B15" s="28"/>
      <c r="C15" s="29" t="s">
        <v>0</v>
      </c>
      <c r="D15" s="11" t="s">
        <v>215</v>
      </c>
      <c r="E15" s="18" t="s">
        <v>0</v>
      </c>
      <c r="F15" s="192">
        <v>4.84</v>
      </c>
      <c r="G15" s="193">
        <v>0.37</v>
      </c>
      <c r="H15" s="194"/>
      <c r="I15" s="192">
        <v>5.63</v>
      </c>
      <c r="J15" s="193">
        <v>0.34</v>
      </c>
      <c r="K15" s="194"/>
      <c r="L15" s="145">
        <v>7.79</v>
      </c>
      <c r="M15" s="146">
        <v>0.38</v>
      </c>
      <c r="N15" s="194"/>
      <c r="O15" s="252">
        <f t="shared" si="0"/>
        <v>-2.9999999999999971E-2</v>
      </c>
      <c r="P15" s="252">
        <f t="shared" si="1"/>
        <v>3.999999999999998E-2</v>
      </c>
    </row>
    <row r="16" spans="1:16" ht="16.5" customHeight="1">
      <c r="B16" s="28"/>
      <c r="C16" s="275" t="s">
        <v>158</v>
      </c>
      <c r="D16" s="275"/>
      <c r="E16" s="104" t="s">
        <v>0</v>
      </c>
      <c r="F16" s="243">
        <v>151.77000000000001</v>
      </c>
      <c r="G16" s="244">
        <v>11.66</v>
      </c>
      <c r="H16" s="242"/>
      <c r="I16" s="243">
        <v>178.33</v>
      </c>
      <c r="J16" s="244">
        <v>10.89</v>
      </c>
      <c r="K16" s="242"/>
      <c r="L16" s="143">
        <v>178.9</v>
      </c>
      <c r="M16" s="144">
        <v>8.7899999999999991</v>
      </c>
      <c r="N16" s="242"/>
      <c r="O16" s="251">
        <f t="shared" si="0"/>
        <v>-0.76999999999999957</v>
      </c>
      <c r="P16" s="251">
        <f t="shared" si="1"/>
        <v>-2.1000000000000014</v>
      </c>
    </row>
    <row r="17" spans="2:16" ht="16.5" customHeight="1">
      <c r="B17" s="28"/>
      <c r="C17" s="29" t="s">
        <v>0</v>
      </c>
      <c r="D17" s="11" t="s">
        <v>9</v>
      </c>
      <c r="E17" s="18" t="s">
        <v>0</v>
      </c>
      <c r="F17" s="192">
        <v>31.48</v>
      </c>
      <c r="G17" s="193">
        <v>2.42</v>
      </c>
      <c r="H17" s="194"/>
      <c r="I17" s="192">
        <v>33.89</v>
      </c>
      <c r="J17" s="193">
        <v>2.0699999999999998</v>
      </c>
      <c r="K17" s="194"/>
      <c r="L17" s="145">
        <v>23.63</v>
      </c>
      <c r="M17" s="146">
        <v>1.1599999999999999</v>
      </c>
      <c r="N17" s="194"/>
      <c r="O17" s="252">
        <f t="shared" si="0"/>
        <v>-0.35000000000000009</v>
      </c>
      <c r="P17" s="252">
        <f t="shared" si="1"/>
        <v>-0.90999999999999992</v>
      </c>
    </row>
    <row r="18" spans="2:16" ht="16.5" customHeight="1">
      <c r="B18" s="28"/>
      <c r="C18" s="29" t="s">
        <v>0</v>
      </c>
      <c r="D18" s="11" t="s">
        <v>10</v>
      </c>
      <c r="E18" s="18" t="s">
        <v>0</v>
      </c>
      <c r="F18" s="192">
        <v>56.17</v>
      </c>
      <c r="G18" s="193">
        <v>4.3099999999999996</v>
      </c>
      <c r="H18" s="194"/>
      <c r="I18" s="192">
        <v>70.84</v>
      </c>
      <c r="J18" s="193">
        <v>4.33</v>
      </c>
      <c r="K18" s="194"/>
      <c r="L18" s="145">
        <v>82.33</v>
      </c>
      <c r="M18" s="146">
        <v>4.04</v>
      </c>
      <c r="N18" s="194"/>
      <c r="O18" s="252">
        <f t="shared" si="0"/>
        <v>2.0000000000000462E-2</v>
      </c>
      <c r="P18" s="252">
        <f t="shared" si="1"/>
        <v>-0.29000000000000004</v>
      </c>
    </row>
    <row r="19" spans="2:16" ht="16.5" customHeight="1">
      <c r="B19" s="28"/>
      <c r="C19" s="29" t="s">
        <v>0</v>
      </c>
      <c r="D19" s="11" t="s">
        <v>11</v>
      </c>
      <c r="E19" s="18" t="s">
        <v>0</v>
      </c>
      <c r="F19" s="192">
        <v>10.9</v>
      </c>
      <c r="G19" s="193">
        <v>0.84</v>
      </c>
      <c r="H19" s="194"/>
      <c r="I19" s="192">
        <v>12.46</v>
      </c>
      <c r="J19" s="193">
        <v>0.76</v>
      </c>
      <c r="K19" s="194"/>
      <c r="L19" s="145">
        <v>12.39</v>
      </c>
      <c r="M19" s="146">
        <v>0.61</v>
      </c>
      <c r="N19" s="194"/>
      <c r="O19" s="252">
        <f t="shared" si="0"/>
        <v>-7.999999999999996E-2</v>
      </c>
      <c r="P19" s="252">
        <f t="shared" si="1"/>
        <v>-0.15000000000000002</v>
      </c>
    </row>
    <row r="20" spans="2:16" ht="16.5" customHeight="1">
      <c r="B20" s="28"/>
      <c r="C20" s="29" t="s">
        <v>0</v>
      </c>
      <c r="D20" s="30" t="s">
        <v>12</v>
      </c>
      <c r="E20" s="19" t="s">
        <v>0</v>
      </c>
      <c r="F20" s="192">
        <v>27.82</v>
      </c>
      <c r="G20" s="193">
        <v>2.14</v>
      </c>
      <c r="H20" s="194"/>
      <c r="I20" s="192">
        <v>25.18</v>
      </c>
      <c r="J20" s="193">
        <v>1.54</v>
      </c>
      <c r="K20" s="194"/>
      <c r="L20" s="145">
        <v>26.6</v>
      </c>
      <c r="M20" s="146">
        <v>1.31</v>
      </c>
      <c r="N20" s="194"/>
      <c r="O20" s="252">
        <f t="shared" si="0"/>
        <v>-0.60000000000000009</v>
      </c>
      <c r="P20" s="252">
        <f t="shared" si="1"/>
        <v>-0.22999999999999998</v>
      </c>
    </row>
    <row r="21" spans="2:16" ht="16.5" customHeight="1">
      <c r="B21" s="28"/>
      <c r="C21" s="29" t="s">
        <v>0</v>
      </c>
      <c r="D21" s="11" t="s">
        <v>24</v>
      </c>
      <c r="E21" s="18" t="s">
        <v>0</v>
      </c>
      <c r="F21" s="192">
        <v>25.4</v>
      </c>
      <c r="G21" s="193">
        <v>1.95</v>
      </c>
      <c r="H21" s="194"/>
      <c r="I21" s="192">
        <v>35.97</v>
      </c>
      <c r="J21" s="193">
        <v>2.2000000000000002</v>
      </c>
      <c r="K21" s="194"/>
      <c r="L21" s="145">
        <v>33.96</v>
      </c>
      <c r="M21" s="146">
        <v>1.67</v>
      </c>
      <c r="N21" s="194"/>
      <c r="O21" s="252">
        <f t="shared" si="0"/>
        <v>0.25000000000000022</v>
      </c>
      <c r="P21" s="252">
        <f t="shared" si="1"/>
        <v>-0.53000000000000025</v>
      </c>
    </row>
    <row r="22" spans="2:16" ht="16.5" customHeight="1">
      <c r="B22" s="28"/>
      <c r="C22" s="275" t="s">
        <v>159</v>
      </c>
      <c r="D22" s="275"/>
      <c r="E22" s="104" t="s">
        <v>0</v>
      </c>
      <c r="F22" s="243">
        <v>175.44</v>
      </c>
      <c r="G22" s="244">
        <v>13.48</v>
      </c>
      <c r="H22" s="242"/>
      <c r="I22" s="243">
        <v>209.49</v>
      </c>
      <c r="J22" s="244">
        <v>12.79</v>
      </c>
      <c r="K22" s="242"/>
      <c r="L22" s="143">
        <v>239.05</v>
      </c>
      <c r="M22" s="144">
        <v>11.74</v>
      </c>
      <c r="N22" s="242"/>
      <c r="O22" s="251">
        <f t="shared" si="0"/>
        <v>-0.69000000000000128</v>
      </c>
      <c r="P22" s="251">
        <f t="shared" si="1"/>
        <v>-1.0499999999999989</v>
      </c>
    </row>
    <row r="23" spans="2:16" ht="16.5" customHeight="1">
      <c r="B23" s="28"/>
      <c r="C23" s="29" t="s">
        <v>0</v>
      </c>
      <c r="D23" s="11" t="s">
        <v>160</v>
      </c>
      <c r="E23" s="18" t="s">
        <v>0</v>
      </c>
      <c r="F23" s="192">
        <v>77.790000000000006</v>
      </c>
      <c r="G23" s="193">
        <v>5.97</v>
      </c>
      <c r="H23" s="194"/>
      <c r="I23" s="192">
        <v>93.92</v>
      </c>
      <c r="J23" s="193">
        <v>5.74</v>
      </c>
      <c r="K23" s="194"/>
      <c r="L23" s="145">
        <v>113.33</v>
      </c>
      <c r="M23" s="146">
        <v>5.57</v>
      </c>
      <c r="N23" s="194"/>
      <c r="O23" s="252">
        <f t="shared" si="0"/>
        <v>-0.22999999999999954</v>
      </c>
      <c r="P23" s="252">
        <f t="shared" si="1"/>
        <v>-0.16999999999999993</v>
      </c>
    </row>
    <row r="24" spans="2:16" ht="16.5" customHeight="1">
      <c r="B24" s="28"/>
      <c r="C24" s="29" t="s">
        <v>0</v>
      </c>
      <c r="D24" s="11" t="s">
        <v>25</v>
      </c>
      <c r="E24" s="18" t="s">
        <v>0</v>
      </c>
      <c r="F24" s="192">
        <v>24.12</v>
      </c>
      <c r="G24" s="193">
        <v>1.85</v>
      </c>
      <c r="H24" s="194"/>
      <c r="I24" s="192">
        <v>29.18</v>
      </c>
      <c r="J24" s="193">
        <v>1.78</v>
      </c>
      <c r="K24" s="194"/>
      <c r="L24" s="145">
        <v>31.67</v>
      </c>
      <c r="M24" s="146">
        <v>1.56</v>
      </c>
      <c r="N24" s="194"/>
      <c r="O24" s="252">
        <f t="shared" si="0"/>
        <v>-7.0000000000000062E-2</v>
      </c>
      <c r="P24" s="252">
        <f t="shared" si="1"/>
        <v>-0.21999999999999997</v>
      </c>
    </row>
    <row r="25" spans="2:16" ht="16.5" customHeight="1">
      <c r="B25" s="28"/>
      <c r="C25" s="29" t="s">
        <v>0</v>
      </c>
      <c r="D25" s="11" t="s">
        <v>26</v>
      </c>
      <c r="E25" s="18" t="s">
        <v>0</v>
      </c>
      <c r="F25" s="192">
        <v>29.04</v>
      </c>
      <c r="G25" s="193">
        <v>2.23</v>
      </c>
      <c r="H25" s="194"/>
      <c r="I25" s="192">
        <v>36.76</v>
      </c>
      <c r="J25" s="193">
        <v>2.25</v>
      </c>
      <c r="K25" s="194"/>
      <c r="L25" s="145">
        <v>44.48</v>
      </c>
      <c r="M25" s="146">
        <v>2.1800000000000002</v>
      </c>
      <c r="N25" s="194"/>
      <c r="O25" s="252">
        <f t="shared" si="0"/>
        <v>2.0000000000000018E-2</v>
      </c>
      <c r="P25" s="252">
        <f t="shared" si="1"/>
        <v>-6.999999999999984E-2</v>
      </c>
    </row>
    <row r="26" spans="2:16" ht="16.5" customHeight="1">
      <c r="B26" s="28"/>
      <c r="C26" s="29" t="s">
        <v>0</v>
      </c>
      <c r="D26" s="11" t="s">
        <v>27</v>
      </c>
      <c r="E26" s="18" t="s">
        <v>0</v>
      </c>
      <c r="F26" s="192">
        <v>44.49</v>
      </c>
      <c r="G26" s="193">
        <v>3.42</v>
      </c>
      <c r="H26" s="194"/>
      <c r="I26" s="192">
        <v>49.64</v>
      </c>
      <c r="J26" s="193">
        <v>3.03</v>
      </c>
      <c r="K26" s="194"/>
      <c r="L26" s="145">
        <v>49.56</v>
      </c>
      <c r="M26" s="146">
        <v>2.4300000000000002</v>
      </c>
      <c r="N26" s="194"/>
      <c r="O26" s="252">
        <f t="shared" si="0"/>
        <v>-0.39000000000000012</v>
      </c>
      <c r="P26" s="252">
        <f t="shared" si="1"/>
        <v>-0.59999999999999964</v>
      </c>
    </row>
    <row r="27" spans="2:16" s="128" customFormat="1" ht="16.5" customHeight="1">
      <c r="B27" s="127"/>
      <c r="C27" s="275" t="s">
        <v>216</v>
      </c>
      <c r="D27" s="275"/>
      <c r="E27" s="126"/>
      <c r="F27" s="243">
        <v>19.32</v>
      </c>
      <c r="G27" s="244">
        <v>1.48</v>
      </c>
      <c r="H27" s="242"/>
      <c r="I27" s="243">
        <v>30.08</v>
      </c>
      <c r="J27" s="244">
        <v>1.84</v>
      </c>
      <c r="K27" s="242"/>
      <c r="L27" s="143">
        <v>37.25</v>
      </c>
      <c r="M27" s="144">
        <v>1.83</v>
      </c>
      <c r="N27" s="242"/>
      <c r="O27" s="251">
        <f t="shared" si="0"/>
        <v>0.3600000000000001</v>
      </c>
      <c r="P27" s="251">
        <f t="shared" si="1"/>
        <v>-1.0000000000000009E-2</v>
      </c>
    </row>
    <row r="28" spans="2:16" ht="16.5" customHeight="1">
      <c r="B28" s="275" t="s">
        <v>161</v>
      </c>
      <c r="C28" s="275"/>
      <c r="D28" s="275"/>
      <c r="E28" s="104" t="s">
        <v>0</v>
      </c>
      <c r="F28" s="243">
        <v>30.66</v>
      </c>
      <c r="G28" s="244">
        <v>2.36</v>
      </c>
      <c r="H28" s="242"/>
      <c r="I28" s="243">
        <v>44.4</v>
      </c>
      <c r="J28" s="244">
        <v>2.71</v>
      </c>
      <c r="K28" s="242"/>
      <c r="L28" s="143">
        <v>49.98</v>
      </c>
      <c r="M28" s="144">
        <v>2.4500000000000002</v>
      </c>
      <c r="N28" s="242"/>
      <c r="O28" s="251">
        <f t="shared" si="0"/>
        <v>0.35000000000000009</v>
      </c>
      <c r="P28" s="251">
        <f t="shared" si="1"/>
        <v>-0.25999999999999979</v>
      </c>
    </row>
    <row r="29" spans="2:16" ht="16.5" customHeight="1">
      <c r="B29" s="28"/>
      <c r="C29" s="29" t="s">
        <v>0</v>
      </c>
      <c r="D29" s="11" t="s">
        <v>162</v>
      </c>
      <c r="E29" s="18" t="s">
        <v>0</v>
      </c>
      <c r="F29" s="192">
        <v>22.45</v>
      </c>
      <c r="G29" s="193">
        <v>1.72</v>
      </c>
      <c r="H29" s="194"/>
      <c r="I29" s="192">
        <v>34.14</v>
      </c>
      <c r="J29" s="193">
        <v>2.08</v>
      </c>
      <c r="K29" s="194"/>
      <c r="L29" s="145">
        <v>33.159999999999997</v>
      </c>
      <c r="M29" s="146">
        <v>1.63</v>
      </c>
      <c r="N29" s="194"/>
      <c r="O29" s="252">
        <f t="shared" si="0"/>
        <v>0.3600000000000001</v>
      </c>
      <c r="P29" s="252">
        <f t="shared" si="1"/>
        <v>-0.45000000000000018</v>
      </c>
    </row>
    <row r="30" spans="2:16" ht="16.5" customHeight="1">
      <c r="B30" s="28"/>
      <c r="C30" s="29" t="s">
        <v>0</v>
      </c>
      <c r="D30" s="11" t="s">
        <v>163</v>
      </c>
      <c r="E30" s="18" t="s">
        <v>0</v>
      </c>
      <c r="F30" s="192">
        <v>8.2100000000000009</v>
      </c>
      <c r="G30" s="193">
        <v>0.63</v>
      </c>
      <c r="H30" s="194"/>
      <c r="I30" s="192">
        <v>10.26</v>
      </c>
      <c r="J30" s="193">
        <v>0.63</v>
      </c>
      <c r="K30" s="194"/>
      <c r="L30" s="145">
        <v>16.809999999999999</v>
      </c>
      <c r="M30" s="146">
        <v>0.83</v>
      </c>
      <c r="N30" s="194"/>
      <c r="O30" s="252">
        <f t="shared" si="0"/>
        <v>0</v>
      </c>
      <c r="P30" s="252">
        <f t="shared" si="1"/>
        <v>0.19999999999999996</v>
      </c>
    </row>
    <row r="31" spans="2:16" ht="16.5" customHeight="1">
      <c r="B31" s="275" t="s">
        <v>15</v>
      </c>
      <c r="C31" s="275"/>
      <c r="D31" s="275"/>
      <c r="E31" s="104" t="s">
        <v>0</v>
      </c>
      <c r="F31" s="243">
        <v>74.569999999999993</v>
      </c>
      <c r="G31" s="244">
        <v>5.73</v>
      </c>
      <c r="H31" s="242"/>
      <c r="I31" s="243">
        <v>93.53</v>
      </c>
      <c r="J31" s="244">
        <v>5.71</v>
      </c>
      <c r="K31" s="242"/>
      <c r="L31" s="143">
        <v>125.5</v>
      </c>
      <c r="M31" s="144">
        <v>6.16</v>
      </c>
      <c r="N31" s="242"/>
      <c r="O31" s="251">
        <f t="shared" si="0"/>
        <v>-2.0000000000000462E-2</v>
      </c>
      <c r="P31" s="251">
        <f t="shared" si="1"/>
        <v>0.45000000000000018</v>
      </c>
    </row>
    <row r="32" spans="2:16" ht="16.5" customHeight="1">
      <c r="B32" s="275" t="s">
        <v>164</v>
      </c>
      <c r="C32" s="276"/>
      <c r="D32" s="276"/>
      <c r="E32" s="20" t="s">
        <v>0</v>
      </c>
      <c r="F32" s="243">
        <v>765.94</v>
      </c>
      <c r="G32" s="244">
        <v>58.83</v>
      </c>
      <c r="H32" s="242"/>
      <c r="I32" s="243">
        <v>981.22</v>
      </c>
      <c r="J32" s="244">
        <v>59.92</v>
      </c>
      <c r="K32" s="242"/>
      <c r="L32" s="143">
        <v>1298.27</v>
      </c>
      <c r="M32" s="144">
        <v>63.76</v>
      </c>
      <c r="N32" s="242"/>
      <c r="O32" s="251">
        <f t="shared" si="0"/>
        <v>1.0900000000000034</v>
      </c>
      <c r="P32" s="251">
        <f>M32-J32</f>
        <v>3.8399999999999963</v>
      </c>
    </row>
    <row r="33" spans="2:16" ht="16.5" customHeight="1">
      <c r="B33" s="28"/>
      <c r="C33" s="275" t="s">
        <v>165</v>
      </c>
      <c r="D33" s="275"/>
      <c r="E33" s="104" t="s">
        <v>0</v>
      </c>
      <c r="F33" s="243">
        <v>151.71</v>
      </c>
      <c r="G33" s="244">
        <v>11.65</v>
      </c>
      <c r="H33" s="242"/>
      <c r="I33" s="243">
        <v>190.26</v>
      </c>
      <c r="J33" s="244">
        <v>11.62</v>
      </c>
      <c r="K33" s="242"/>
      <c r="L33" s="143">
        <v>251.3</v>
      </c>
      <c r="M33" s="144">
        <v>12.34</v>
      </c>
      <c r="N33" s="242"/>
      <c r="O33" s="251">
        <f t="shared" si="0"/>
        <v>-3.0000000000001137E-2</v>
      </c>
      <c r="P33" s="251">
        <f t="shared" si="1"/>
        <v>0.72000000000000064</v>
      </c>
    </row>
    <row r="34" spans="2:16" ht="16.5" customHeight="1">
      <c r="B34" s="28"/>
      <c r="C34" s="29" t="s">
        <v>0</v>
      </c>
      <c r="D34" s="11" t="s">
        <v>28</v>
      </c>
      <c r="E34" s="18" t="s">
        <v>0</v>
      </c>
      <c r="F34" s="192">
        <v>108.35</v>
      </c>
      <c r="G34" s="193">
        <v>8.32</v>
      </c>
      <c r="H34" s="194"/>
      <c r="I34" s="192">
        <v>135.38</v>
      </c>
      <c r="J34" s="193">
        <v>8.27</v>
      </c>
      <c r="K34" s="194"/>
      <c r="L34" s="145">
        <v>188.59</v>
      </c>
      <c r="M34" s="146">
        <v>9.26</v>
      </c>
      <c r="N34" s="194"/>
      <c r="O34" s="252">
        <f t="shared" si="0"/>
        <v>-5.0000000000000711E-2</v>
      </c>
      <c r="P34" s="252">
        <f t="shared" si="1"/>
        <v>0.99000000000000021</v>
      </c>
    </row>
    <row r="35" spans="2:16" ht="16.5" customHeight="1">
      <c r="B35" s="28"/>
      <c r="C35" s="29" t="s">
        <v>0</v>
      </c>
      <c r="D35" s="11" t="s">
        <v>17</v>
      </c>
      <c r="E35" s="18" t="s">
        <v>0</v>
      </c>
      <c r="F35" s="192">
        <v>43.36</v>
      </c>
      <c r="G35" s="193">
        <v>3.33</v>
      </c>
      <c r="H35" s="194"/>
      <c r="I35" s="192">
        <v>54.88</v>
      </c>
      <c r="J35" s="193">
        <v>3.35</v>
      </c>
      <c r="K35" s="194"/>
      <c r="L35" s="145">
        <v>62.71</v>
      </c>
      <c r="M35" s="146">
        <v>3.08</v>
      </c>
      <c r="N35" s="194"/>
      <c r="O35" s="252">
        <f t="shared" si="0"/>
        <v>2.0000000000000018E-2</v>
      </c>
      <c r="P35" s="252">
        <f t="shared" si="1"/>
        <v>-0.27</v>
      </c>
    </row>
    <row r="36" spans="2:16" ht="16.5" customHeight="1">
      <c r="B36" s="28"/>
      <c r="C36" s="275" t="s">
        <v>166</v>
      </c>
      <c r="D36" s="275"/>
      <c r="E36" s="104" t="s">
        <v>0</v>
      </c>
      <c r="F36" s="243">
        <v>355.87</v>
      </c>
      <c r="G36" s="244">
        <v>27.33</v>
      </c>
      <c r="H36" s="242"/>
      <c r="I36" s="243">
        <v>460.09</v>
      </c>
      <c r="J36" s="244">
        <v>28.1</v>
      </c>
      <c r="K36" s="242"/>
      <c r="L36" s="143">
        <v>623.87</v>
      </c>
      <c r="M36" s="144">
        <v>30.64</v>
      </c>
      <c r="N36" s="242"/>
      <c r="O36" s="251">
        <f t="shared" si="0"/>
        <v>0.77000000000000313</v>
      </c>
      <c r="P36" s="251">
        <f t="shared" si="1"/>
        <v>2.5399999999999991</v>
      </c>
    </row>
    <row r="37" spans="2:16" ht="16.5" customHeight="1">
      <c r="B37" s="28"/>
      <c r="C37" s="29" t="s">
        <v>0</v>
      </c>
      <c r="D37" s="11" t="s">
        <v>29</v>
      </c>
      <c r="E37" s="18" t="s">
        <v>0</v>
      </c>
      <c r="F37" s="192">
        <v>57.83</v>
      </c>
      <c r="G37" s="193">
        <v>4.4400000000000004</v>
      </c>
      <c r="H37" s="194"/>
      <c r="I37" s="192">
        <v>73.02</v>
      </c>
      <c r="J37" s="193">
        <v>4.46</v>
      </c>
      <c r="K37" s="194"/>
      <c r="L37" s="145">
        <v>93.72</v>
      </c>
      <c r="M37" s="146">
        <v>4.5999999999999996</v>
      </c>
      <c r="N37" s="194"/>
      <c r="O37" s="252">
        <f t="shared" si="0"/>
        <v>1.9999999999999574E-2</v>
      </c>
      <c r="P37" s="252">
        <f t="shared" si="1"/>
        <v>0.13999999999999968</v>
      </c>
    </row>
    <row r="38" spans="2:16" ht="16.5" customHeight="1">
      <c r="B38" s="28"/>
      <c r="C38" s="29" t="s">
        <v>0</v>
      </c>
      <c r="D38" s="11" t="s">
        <v>30</v>
      </c>
      <c r="E38" s="18" t="s">
        <v>0</v>
      </c>
      <c r="F38" s="192">
        <v>81.099999999999994</v>
      </c>
      <c r="G38" s="193">
        <v>6.23</v>
      </c>
      <c r="H38" s="194"/>
      <c r="I38" s="192">
        <v>92.23</v>
      </c>
      <c r="J38" s="193">
        <v>5.63</v>
      </c>
      <c r="K38" s="194"/>
      <c r="L38" s="145">
        <v>118.33</v>
      </c>
      <c r="M38" s="146">
        <v>5.81</v>
      </c>
      <c r="N38" s="194"/>
      <c r="O38" s="252">
        <f t="shared" si="0"/>
        <v>-0.60000000000000053</v>
      </c>
      <c r="P38" s="252">
        <f t="shared" si="1"/>
        <v>0.17999999999999972</v>
      </c>
    </row>
    <row r="39" spans="2:16" ht="16.5" customHeight="1">
      <c r="B39" s="28"/>
      <c r="C39" s="29" t="s">
        <v>0</v>
      </c>
      <c r="D39" s="11" t="s">
        <v>31</v>
      </c>
      <c r="E39" s="18" t="s">
        <v>0</v>
      </c>
      <c r="F39" s="192">
        <v>113.65</v>
      </c>
      <c r="G39" s="193">
        <v>8.73</v>
      </c>
      <c r="H39" s="194"/>
      <c r="I39" s="192">
        <v>146.4</v>
      </c>
      <c r="J39" s="193">
        <v>8.94</v>
      </c>
      <c r="K39" s="194"/>
      <c r="L39" s="145">
        <v>196.3</v>
      </c>
      <c r="M39" s="146">
        <v>9.64</v>
      </c>
      <c r="N39" s="194"/>
      <c r="O39" s="252">
        <f t="shared" si="0"/>
        <v>0.20999999999999908</v>
      </c>
      <c r="P39" s="252">
        <f t="shared" si="1"/>
        <v>0.70000000000000107</v>
      </c>
    </row>
    <row r="40" spans="2:16" ht="16.5" customHeight="1">
      <c r="B40" s="28"/>
      <c r="C40" s="29" t="s">
        <v>0</v>
      </c>
      <c r="D40" s="11" t="s">
        <v>32</v>
      </c>
      <c r="E40" s="18" t="s">
        <v>0</v>
      </c>
      <c r="F40" s="192">
        <v>67</v>
      </c>
      <c r="G40" s="193">
        <v>5.15</v>
      </c>
      <c r="H40" s="194"/>
      <c r="I40" s="192">
        <v>95.01</v>
      </c>
      <c r="J40" s="193">
        <v>5.8</v>
      </c>
      <c r="K40" s="194"/>
      <c r="L40" s="145">
        <v>141</v>
      </c>
      <c r="M40" s="146">
        <v>6.92</v>
      </c>
      <c r="N40" s="194"/>
      <c r="O40" s="252">
        <f t="shared" si="0"/>
        <v>0.64999999999999947</v>
      </c>
      <c r="P40" s="252">
        <f t="shared" si="1"/>
        <v>1.1200000000000001</v>
      </c>
    </row>
    <row r="41" spans="2:16" ht="16.5" customHeight="1">
      <c r="B41" s="28"/>
      <c r="C41" s="29" t="s">
        <v>0</v>
      </c>
      <c r="D41" s="11" t="s">
        <v>33</v>
      </c>
      <c r="E41" s="18" t="s">
        <v>0</v>
      </c>
      <c r="F41" s="192">
        <v>36.28</v>
      </c>
      <c r="G41" s="193">
        <v>2.79</v>
      </c>
      <c r="H41" s="194"/>
      <c r="I41" s="192">
        <v>53.43</v>
      </c>
      <c r="J41" s="193">
        <v>3.26</v>
      </c>
      <c r="K41" s="194"/>
      <c r="L41" s="145">
        <v>74.52</v>
      </c>
      <c r="M41" s="146">
        <v>3.66</v>
      </c>
      <c r="N41" s="194"/>
      <c r="O41" s="252">
        <f t="shared" si="0"/>
        <v>0.46999999999999975</v>
      </c>
      <c r="P41" s="252">
        <f t="shared" si="1"/>
        <v>0.40000000000000036</v>
      </c>
    </row>
    <row r="42" spans="2:16" ht="16.5" customHeight="1">
      <c r="B42" s="28"/>
      <c r="C42" s="275" t="s">
        <v>167</v>
      </c>
      <c r="D42" s="275"/>
      <c r="E42" s="104" t="s">
        <v>0</v>
      </c>
      <c r="F42" s="243">
        <v>182.26</v>
      </c>
      <c r="G42" s="244">
        <v>14</v>
      </c>
      <c r="H42" s="242"/>
      <c r="I42" s="243">
        <v>239.06</v>
      </c>
      <c r="J42" s="244">
        <v>14.6</v>
      </c>
      <c r="K42" s="242"/>
      <c r="L42" s="143">
        <v>319.22000000000003</v>
      </c>
      <c r="M42" s="144">
        <v>15.68</v>
      </c>
      <c r="N42" s="242"/>
      <c r="O42" s="251">
        <f t="shared" si="0"/>
        <v>0.59999999999999964</v>
      </c>
      <c r="P42" s="251">
        <f t="shared" si="1"/>
        <v>1.08</v>
      </c>
    </row>
    <row r="43" spans="2:16" ht="16.5" customHeight="1">
      <c r="B43" s="28"/>
      <c r="C43" s="29" t="s">
        <v>0</v>
      </c>
      <c r="D43" s="11" t="s">
        <v>34</v>
      </c>
      <c r="E43" s="18" t="s">
        <v>0</v>
      </c>
      <c r="F43" s="192">
        <v>64.86</v>
      </c>
      <c r="G43" s="193">
        <v>4.9800000000000004</v>
      </c>
      <c r="H43" s="194"/>
      <c r="I43" s="192">
        <v>95.49</v>
      </c>
      <c r="J43" s="193">
        <v>5.83</v>
      </c>
      <c r="K43" s="194"/>
      <c r="L43" s="145">
        <v>125.92</v>
      </c>
      <c r="M43" s="146">
        <v>6.18</v>
      </c>
      <c r="N43" s="194"/>
      <c r="O43" s="252">
        <f t="shared" si="0"/>
        <v>0.84999999999999964</v>
      </c>
      <c r="P43" s="252">
        <f t="shared" si="1"/>
        <v>0.34999999999999964</v>
      </c>
    </row>
    <row r="44" spans="2:16" ht="16.5" customHeight="1">
      <c r="B44" s="28"/>
      <c r="C44" s="29" t="s">
        <v>0</v>
      </c>
      <c r="D44" s="11" t="s">
        <v>20</v>
      </c>
      <c r="E44" s="18" t="s">
        <v>0</v>
      </c>
      <c r="F44" s="192">
        <v>70.61</v>
      </c>
      <c r="G44" s="193">
        <v>5.42</v>
      </c>
      <c r="H44" s="194"/>
      <c r="I44" s="192">
        <v>80.42</v>
      </c>
      <c r="J44" s="193">
        <v>4.91</v>
      </c>
      <c r="K44" s="194"/>
      <c r="L44" s="145">
        <v>88.26</v>
      </c>
      <c r="M44" s="146">
        <v>4.33</v>
      </c>
      <c r="N44" s="194"/>
      <c r="O44" s="252">
        <f t="shared" si="0"/>
        <v>-0.50999999999999979</v>
      </c>
      <c r="P44" s="252">
        <f t="shared" si="1"/>
        <v>-0.58000000000000007</v>
      </c>
    </row>
    <row r="45" spans="2:16" ht="16.5" customHeight="1">
      <c r="B45" s="28"/>
      <c r="C45" s="29" t="s">
        <v>0</v>
      </c>
      <c r="D45" s="11" t="s">
        <v>21</v>
      </c>
      <c r="E45" s="18" t="s">
        <v>0</v>
      </c>
      <c r="F45" s="192">
        <v>46.79</v>
      </c>
      <c r="G45" s="193">
        <v>3.59</v>
      </c>
      <c r="H45" s="194"/>
      <c r="I45" s="192">
        <v>63.14</v>
      </c>
      <c r="J45" s="193">
        <v>3.86</v>
      </c>
      <c r="K45" s="194"/>
      <c r="L45" s="145">
        <v>105.05</v>
      </c>
      <c r="M45" s="146">
        <v>5.16</v>
      </c>
      <c r="N45" s="194"/>
      <c r="O45" s="252">
        <f t="shared" si="0"/>
        <v>0.27</v>
      </c>
      <c r="P45" s="252">
        <f t="shared" si="1"/>
        <v>1.3000000000000003</v>
      </c>
    </row>
    <row r="46" spans="2:16" ht="16.5" customHeight="1">
      <c r="B46" s="28"/>
      <c r="C46" s="275" t="s">
        <v>168</v>
      </c>
      <c r="D46" s="275"/>
      <c r="E46" s="104" t="s">
        <v>0</v>
      </c>
      <c r="F46" s="243">
        <v>76.099999999999994</v>
      </c>
      <c r="G46" s="244">
        <v>5.85</v>
      </c>
      <c r="H46" s="242"/>
      <c r="I46" s="243">
        <v>91.81</v>
      </c>
      <c r="J46" s="244">
        <v>5.61</v>
      </c>
      <c r="K46" s="242"/>
      <c r="L46" s="143">
        <v>103.88</v>
      </c>
      <c r="M46" s="144">
        <v>5.0999999999999996</v>
      </c>
      <c r="N46" s="242"/>
      <c r="O46" s="251">
        <f t="shared" si="0"/>
        <v>-0.23999999999999932</v>
      </c>
      <c r="P46" s="251">
        <f t="shared" si="1"/>
        <v>-0.51000000000000068</v>
      </c>
    </row>
    <row r="47" spans="2:16" ht="16.5" customHeight="1">
      <c r="B47" s="28"/>
      <c r="C47" s="29" t="s">
        <v>0</v>
      </c>
      <c r="D47" s="11" t="s">
        <v>23</v>
      </c>
      <c r="E47" s="18" t="s">
        <v>0</v>
      </c>
      <c r="F47" s="192">
        <v>35.36</v>
      </c>
      <c r="G47" s="193">
        <v>2.72</v>
      </c>
      <c r="H47" s="194"/>
      <c r="I47" s="192">
        <v>45.55</v>
      </c>
      <c r="J47" s="193">
        <v>2.78</v>
      </c>
      <c r="K47" s="194"/>
      <c r="L47" s="145">
        <v>50.94</v>
      </c>
      <c r="M47" s="146">
        <v>2.5</v>
      </c>
      <c r="N47" s="194"/>
      <c r="O47" s="252">
        <f t="shared" si="0"/>
        <v>5.9999999999999609E-2</v>
      </c>
      <c r="P47" s="252">
        <f t="shared" si="1"/>
        <v>-0.2799999999999998</v>
      </c>
    </row>
    <row r="48" spans="2:16" ht="16.5" customHeight="1">
      <c r="B48" s="28"/>
      <c r="C48" s="29" t="s">
        <v>0</v>
      </c>
      <c r="D48" s="11" t="s">
        <v>35</v>
      </c>
      <c r="E48" s="18" t="s">
        <v>0</v>
      </c>
      <c r="F48" s="192">
        <v>20.82</v>
      </c>
      <c r="G48" s="193">
        <v>1.6</v>
      </c>
      <c r="H48" s="194"/>
      <c r="I48" s="192">
        <v>22.22</v>
      </c>
      <c r="J48" s="193">
        <v>1.36</v>
      </c>
      <c r="K48" s="194"/>
      <c r="L48" s="145">
        <v>22.94</v>
      </c>
      <c r="M48" s="147">
        <v>1.1299999999999999</v>
      </c>
      <c r="N48" s="194"/>
      <c r="O48" s="252">
        <f t="shared" si="0"/>
        <v>-0.24</v>
      </c>
      <c r="P48" s="252">
        <f t="shared" si="1"/>
        <v>-0.2300000000000002</v>
      </c>
    </row>
    <row r="49" spans="2:17" ht="16.5" customHeight="1">
      <c r="B49" s="8"/>
      <c r="C49" s="9"/>
      <c r="D49" s="11" t="s">
        <v>36</v>
      </c>
      <c r="E49" s="18"/>
      <c r="F49" s="195">
        <v>19.920000000000002</v>
      </c>
      <c r="G49" s="196">
        <v>1.53</v>
      </c>
      <c r="H49" s="197"/>
      <c r="I49" s="195">
        <v>24.05</v>
      </c>
      <c r="J49" s="196">
        <v>1.47</v>
      </c>
      <c r="K49" s="197"/>
      <c r="L49" s="148">
        <v>30</v>
      </c>
      <c r="M49" s="147">
        <v>1.47</v>
      </c>
      <c r="N49" s="197"/>
      <c r="O49" s="252">
        <f t="shared" si="0"/>
        <v>-6.0000000000000053E-2</v>
      </c>
      <c r="P49" s="252">
        <f t="shared" si="1"/>
        <v>0</v>
      </c>
      <c r="Q49" s="10"/>
    </row>
    <row r="50" spans="2:17" ht="16.5" customHeight="1">
      <c r="B50" s="276" t="s">
        <v>169</v>
      </c>
      <c r="C50" s="276"/>
      <c r="D50" s="276"/>
      <c r="E50" s="21" t="s">
        <v>0</v>
      </c>
      <c r="F50" s="245">
        <v>0</v>
      </c>
      <c r="G50" s="246">
        <v>0</v>
      </c>
      <c r="H50" s="242"/>
      <c r="I50" s="245">
        <v>0</v>
      </c>
      <c r="J50" s="246">
        <v>0</v>
      </c>
      <c r="K50" s="242"/>
      <c r="L50" s="149">
        <v>0</v>
      </c>
      <c r="M50" s="150">
        <v>0</v>
      </c>
      <c r="N50" s="242"/>
      <c r="O50" s="253">
        <f t="shared" si="0"/>
        <v>0</v>
      </c>
      <c r="P50" s="253">
        <f t="shared" si="1"/>
        <v>0</v>
      </c>
    </row>
    <row r="51" spans="2:17" ht="16.5" customHeight="1" thickBot="1">
      <c r="B51" s="277" t="s">
        <v>170</v>
      </c>
      <c r="C51" s="277"/>
      <c r="D51" s="277"/>
      <c r="E51" s="22" t="s">
        <v>0</v>
      </c>
      <c r="F51" s="247">
        <v>1301.93</v>
      </c>
      <c r="G51" s="248">
        <v>100</v>
      </c>
      <c r="H51" s="249"/>
      <c r="I51" s="247">
        <v>1637.45</v>
      </c>
      <c r="J51" s="248">
        <v>100</v>
      </c>
      <c r="K51" s="249"/>
      <c r="L51" s="151">
        <v>2036.24</v>
      </c>
      <c r="M51" s="152">
        <v>100</v>
      </c>
      <c r="N51" s="249"/>
      <c r="O51" s="254">
        <f t="shared" si="0"/>
        <v>0</v>
      </c>
      <c r="P51" s="254">
        <f t="shared" si="1"/>
        <v>0</v>
      </c>
    </row>
    <row r="52" spans="2:17" ht="9" customHeight="1" thickTop="1"/>
    <row r="53" spans="2:17">
      <c r="D53" s="12" t="s">
        <v>151</v>
      </c>
      <c r="E53" s="24"/>
    </row>
    <row r="54" spans="2:17">
      <c r="D54" s="31"/>
    </row>
  </sheetData>
  <mergeCells count="23">
    <mergeCell ref="O6:P6"/>
    <mergeCell ref="C27:D27"/>
    <mergeCell ref="B7:D7"/>
    <mergeCell ref="C22:D22"/>
    <mergeCell ref="F6:G6"/>
    <mergeCell ref="I6:J6"/>
    <mergeCell ref="L6:M6"/>
    <mergeCell ref="C46:D46"/>
    <mergeCell ref="B50:D50"/>
    <mergeCell ref="B51:D51"/>
    <mergeCell ref="B3:P3"/>
    <mergeCell ref="B4:P4"/>
    <mergeCell ref="B28:D28"/>
    <mergeCell ref="B31:D31"/>
    <mergeCell ref="B32:D32"/>
    <mergeCell ref="C33:D33"/>
    <mergeCell ref="C36:D36"/>
    <mergeCell ref="C42:D42"/>
    <mergeCell ref="B8:D8"/>
    <mergeCell ref="B9:D9"/>
    <mergeCell ref="B10:D10"/>
    <mergeCell ref="C11:D11"/>
    <mergeCell ref="C16:D16"/>
  </mergeCells>
  <phoneticPr fontId="1" type="noConversion"/>
  <hyperlinks>
    <hyperlink ref="A1" location="목차!A1" display="(목차로 이동)" xr:uid="{00000000-0004-0000-0200-000000000000}"/>
  </hyperlinks>
  <pageMargins left="0.70866141732283472" right="0.70866141732283472" top="0.74803149606299213" bottom="0.74803149606299213" header="0.31496062992125984" footer="0.31496062992125984"/>
  <pageSetup paperSize="9" scale="67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5" tint="0.79998168889431442"/>
    <pageSetUpPr fitToPage="1"/>
  </sheetPr>
  <dimension ref="A1:R53"/>
  <sheetViews>
    <sheetView view="pageBreakPreview" zoomScaleNormal="100" zoomScaleSheetLayoutView="100" workbookViewId="0">
      <selection activeCell="H31" sqref="H31"/>
    </sheetView>
  </sheetViews>
  <sheetFormatPr defaultRowHeight="16.5"/>
  <cols>
    <col min="1" max="1" width="2.625" customWidth="1"/>
    <col min="2" max="2" width="2.125" customWidth="1"/>
    <col min="3" max="3" width="2.125" style="7" customWidth="1"/>
    <col min="4" max="4" width="26.625" style="35" customWidth="1"/>
    <col min="5" max="5" width="1.625" customWidth="1"/>
    <col min="6" max="6" width="8.625" style="23" customWidth="1"/>
    <col min="7" max="7" width="1.625" customWidth="1"/>
    <col min="8" max="8" width="8.625" customWidth="1"/>
    <col min="9" max="9" width="1.625" customWidth="1"/>
    <col min="10" max="10" width="8.625" customWidth="1"/>
    <col min="11" max="11" width="1.625" customWidth="1"/>
    <col min="12" max="13" width="8.625" style="13" customWidth="1"/>
  </cols>
  <sheetData>
    <row r="1" spans="1:18">
      <c r="A1" s="32" t="s">
        <v>46</v>
      </c>
      <c r="L1" s="105"/>
      <c r="M1" s="105"/>
    </row>
    <row r="2" spans="1:18" ht="6" customHeight="1">
      <c r="A2" s="32"/>
      <c r="L2" s="105"/>
      <c r="M2" s="105"/>
    </row>
    <row r="3" spans="1:18" ht="18">
      <c r="B3" s="278" t="s">
        <v>171</v>
      </c>
      <c r="C3" s="278"/>
      <c r="D3" s="278"/>
      <c r="E3" s="278"/>
      <c r="F3" s="278"/>
      <c r="G3" s="278"/>
      <c r="H3" s="278"/>
      <c r="I3" s="278"/>
      <c r="J3" s="278"/>
      <c r="K3" s="278"/>
      <c r="L3" s="278"/>
      <c r="M3" s="278"/>
      <c r="N3" s="33"/>
      <c r="O3" s="33"/>
      <c r="P3" s="33"/>
      <c r="Q3" s="33"/>
    </row>
    <row r="4" spans="1:18" ht="18">
      <c r="B4" s="286" t="s">
        <v>47</v>
      </c>
      <c r="C4" s="286"/>
      <c r="D4" s="286"/>
      <c r="E4" s="286"/>
      <c r="F4" s="286"/>
      <c r="G4" s="286"/>
      <c r="H4" s="286"/>
      <c r="I4" s="286"/>
      <c r="J4" s="286"/>
      <c r="K4" s="286"/>
      <c r="L4" s="286"/>
      <c r="M4" s="286"/>
      <c r="N4" s="33"/>
      <c r="O4" s="33"/>
      <c r="P4" s="33"/>
      <c r="Q4" s="33"/>
    </row>
    <row r="5" spans="1:18" ht="8.25" customHeight="1" thickBot="1">
      <c r="B5" s="46"/>
      <c r="D5" s="7"/>
      <c r="L5" s="39"/>
      <c r="M5" s="39"/>
    </row>
    <row r="6" spans="1:18" ht="18" thickTop="1" thickBot="1">
      <c r="B6" s="283" t="s">
        <v>0</v>
      </c>
      <c r="C6" s="287"/>
      <c r="D6" s="287"/>
      <c r="E6" s="2" t="s">
        <v>0</v>
      </c>
      <c r="F6" s="163" t="s">
        <v>290</v>
      </c>
      <c r="G6" s="2" t="s">
        <v>0</v>
      </c>
      <c r="H6" s="163" t="s">
        <v>291</v>
      </c>
      <c r="I6" s="3" t="s">
        <v>0</v>
      </c>
      <c r="J6" s="164" t="s">
        <v>292</v>
      </c>
      <c r="K6" s="3"/>
      <c r="L6" s="153" t="s">
        <v>251</v>
      </c>
      <c r="M6" s="153" t="s">
        <v>252</v>
      </c>
    </row>
    <row r="7" spans="1:18" ht="16.5" customHeight="1" thickTop="1">
      <c r="B7" s="281" t="s">
        <v>1</v>
      </c>
      <c r="C7" s="281"/>
      <c r="D7" s="281"/>
      <c r="E7" s="4" t="s">
        <v>0</v>
      </c>
      <c r="F7" s="52">
        <v>48.4</v>
      </c>
      <c r="G7" s="50"/>
      <c r="H7" s="51">
        <v>45.8</v>
      </c>
      <c r="I7" s="50"/>
      <c r="J7" s="157">
        <v>49.5</v>
      </c>
      <c r="K7" s="50"/>
      <c r="L7" s="49">
        <f t="shared" ref="L7:L50" si="0">H7-F7</f>
        <v>-2.6000000000000014</v>
      </c>
      <c r="M7" s="49">
        <f t="shared" ref="M7:M50" si="1">J7-H7</f>
        <v>3.7000000000000028</v>
      </c>
      <c r="R7" s="38"/>
    </row>
    <row r="8" spans="1:18" ht="16.5" customHeight="1">
      <c r="B8" s="275" t="s">
        <v>2</v>
      </c>
      <c r="C8" s="275"/>
      <c r="D8" s="275"/>
      <c r="E8" s="4" t="s">
        <v>0</v>
      </c>
      <c r="F8" s="52">
        <v>46.7</v>
      </c>
      <c r="G8" s="50"/>
      <c r="H8" s="52">
        <v>48.2</v>
      </c>
      <c r="I8" s="50"/>
      <c r="J8" s="158">
        <v>58.3</v>
      </c>
      <c r="K8" s="50"/>
      <c r="L8" s="53">
        <f t="shared" si="0"/>
        <v>1.5</v>
      </c>
      <c r="M8" s="53">
        <f t="shared" si="1"/>
        <v>10.099999999999994</v>
      </c>
    </row>
    <row r="9" spans="1:18" ht="16.5" customHeight="1">
      <c r="B9" s="275" t="s">
        <v>57</v>
      </c>
      <c r="C9" s="275"/>
      <c r="D9" s="275"/>
      <c r="E9" s="4" t="s">
        <v>0</v>
      </c>
      <c r="F9" s="52">
        <v>73.7</v>
      </c>
      <c r="G9" s="50"/>
      <c r="H9" s="52">
        <v>71.7</v>
      </c>
      <c r="I9" s="50"/>
      <c r="J9" s="158">
        <v>71.2</v>
      </c>
      <c r="K9" s="50"/>
      <c r="L9" s="53">
        <f t="shared" si="0"/>
        <v>-2</v>
      </c>
      <c r="M9" s="53">
        <f t="shared" si="1"/>
        <v>-0.5</v>
      </c>
    </row>
    <row r="10" spans="1:18" ht="16.5" customHeight="1">
      <c r="B10" s="28"/>
      <c r="C10" s="275" t="s">
        <v>56</v>
      </c>
      <c r="D10" s="275"/>
      <c r="E10" s="4" t="s">
        <v>0</v>
      </c>
      <c r="F10" s="52">
        <v>75.099999999999994</v>
      </c>
      <c r="G10" s="50"/>
      <c r="H10" s="52">
        <v>75.400000000000006</v>
      </c>
      <c r="I10" s="50"/>
      <c r="J10" s="158">
        <v>74.099999999999994</v>
      </c>
      <c r="K10" s="50"/>
      <c r="L10" s="53">
        <f t="shared" si="0"/>
        <v>0.30000000000001137</v>
      </c>
      <c r="M10" s="53">
        <f t="shared" si="1"/>
        <v>-1.3000000000000114</v>
      </c>
    </row>
    <row r="11" spans="1:18" ht="16.5" customHeight="1">
      <c r="B11" s="28"/>
      <c r="C11" s="29" t="s">
        <v>0</v>
      </c>
      <c r="D11" s="11" t="s">
        <v>5</v>
      </c>
      <c r="E11" s="5" t="s">
        <v>0</v>
      </c>
      <c r="F11" s="55">
        <v>75.2</v>
      </c>
      <c r="G11" s="54"/>
      <c r="H11" s="55">
        <v>74.900000000000006</v>
      </c>
      <c r="I11" s="54"/>
      <c r="J11" s="159">
        <v>74.2</v>
      </c>
      <c r="K11" s="54"/>
      <c r="L11" s="56">
        <f t="shared" si="0"/>
        <v>-0.29999999999999716</v>
      </c>
      <c r="M11" s="56">
        <f t="shared" si="1"/>
        <v>-0.70000000000000284</v>
      </c>
    </row>
    <row r="12" spans="1:18" ht="16.5" customHeight="1">
      <c r="B12" s="28"/>
      <c r="C12" s="29" t="s">
        <v>0</v>
      </c>
      <c r="D12" s="11" t="s">
        <v>6</v>
      </c>
      <c r="E12" s="5" t="s">
        <v>0</v>
      </c>
      <c r="F12" s="55">
        <v>78.2</v>
      </c>
      <c r="G12" s="54"/>
      <c r="H12" s="55">
        <v>80.7</v>
      </c>
      <c r="I12" s="54"/>
      <c r="J12" s="159">
        <v>78.2</v>
      </c>
      <c r="K12" s="54"/>
      <c r="L12" s="56">
        <f t="shared" si="0"/>
        <v>2.5</v>
      </c>
      <c r="M12" s="56">
        <f t="shared" si="1"/>
        <v>-2.5</v>
      </c>
    </row>
    <row r="13" spans="1:18" ht="16.5" customHeight="1">
      <c r="B13" s="28"/>
      <c r="C13" s="29" t="s">
        <v>0</v>
      </c>
      <c r="D13" s="11" t="s">
        <v>7</v>
      </c>
      <c r="E13" s="5" t="s">
        <v>0</v>
      </c>
      <c r="F13" s="55">
        <v>71.099999999999994</v>
      </c>
      <c r="G13" s="54"/>
      <c r="H13" s="55">
        <v>68.8</v>
      </c>
      <c r="I13" s="54"/>
      <c r="J13" s="159">
        <v>70.2</v>
      </c>
      <c r="K13" s="54"/>
      <c r="L13" s="56">
        <f t="shared" si="0"/>
        <v>-2.2999999999999972</v>
      </c>
      <c r="M13" s="56">
        <f t="shared" si="1"/>
        <v>1.4000000000000057</v>
      </c>
    </row>
    <row r="14" spans="1:18" ht="16.5" customHeight="1">
      <c r="B14" s="28"/>
      <c r="C14" s="29" t="s">
        <v>0</v>
      </c>
      <c r="D14" s="11" t="s">
        <v>215</v>
      </c>
      <c r="E14" s="5" t="s">
        <v>0</v>
      </c>
      <c r="F14" s="55">
        <v>71.2</v>
      </c>
      <c r="G14" s="54"/>
      <c r="H14" s="55">
        <v>72</v>
      </c>
      <c r="I14" s="54"/>
      <c r="J14" s="159">
        <v>70.599999999999994</v>
      </c>
      <c r="K14" s="54"/>
      <c r="L14" s="56">
        <f t="shared" si="0"/>
        <v>0.79999999999999716</v>
      </c>
      <c r="M14" s="56">
        <f t="shared" si="1"/>
        <v>-1.4000000000000057</v>
      </c>
    </row>
    <row r="15" spans="1:18" ht="16.5" customHeight="1">
      <c r="B15" s="28"/>
      <c r="C15" s="275" t="s">
        <v>55</v>
      </c>
      <c r="D15" s="275"/>
      <c r="E15" s="4" t="s">
        <v>0</v>
      </c>
      <c r="F15" s="52">
        <v>74.400000000000006</v>
      </c>
      <c r="G15" s="50"/>
      <c r="H15" s="52">
        <v>71.3</v>
      </c>
      <c r="I15" s="50"/>
      <c r="J15" s="158">
        <v>72.8</v>
      </c>
      <c r="K15" s="50"/>
      <c r="L15" s="53">
        <f t="shared" si="0"/>
        <v>-3.1000000000000085</v>
      </c>
      <c r="M15" s="53">
        <f t="shared" si="1"/>
        <v>1.5</v>
      </c>
    </row>
    <row r="16" spans="1:18" ht="16.5" customHeight="1">
      <c r="B16" s="28"/>
      <c r="C16" s="29" t="s">
        <v>0</v>
      </c>
      <c r="D16" s="11" t="s">
        <v>9</v>
      </c>
      <c r="E16" s="5" t="s">
        <v>0</v>
      </c>
      <c r="F16" s="55">
        <v>73.5</v>
      </c>
      <c r="G16" s="54"/>
      <c r="H16" s="55">
        <v>69.2</v>
      </c>
      <c r="I16" s="54"/>
      <c r="J16" s="159">
        <v>75.599999999999994</v>
      </c>
      <c r="K16" s="54"/>
      <c r="L16" s="56">
        <f t="shared" si="0"/>
        <v>-4.2999999999999972</v>
      </c>
      <c r="M16" s="56">
        <f t="shared" si="1"/>
        <v>6.3999999999999915</v>
      </c>
    </row>
    <row r="17" spans="2:13" ht="16.5" customHeight="1">
      <c r="B17" s="28"/>
      <c r="C17" s="29" t="s">
        <v>0</v>
      </c>
      <c r="D17" s="11" t="s">
        <v>10</v>
      </c>
      <c r="E17" s="5" t="s">
        <v>0</v>
      </c>
      <c r="F17" s="55">
        <v>74</v>
      </c>
      <c r="G17" s="54"/>
      <c r="H17" s="55">
        <v>71.099999999999994</v>
      </c>
      <c r="I17" s="54"/>
      <c r="J17" s="159">
        <v>70.3</v>
      </c>
      <c r="K17" s="54"/>
      <c r="L17" s="56">
        <f t="shared" si="0"/>
        <v>-2.9000000000000057</v>
      </c>
      <c r="M17" s="56">
        <f t="shared" si="1"/>
        <v>-0.79999999999999716</v>
      </c>
    </row>
    <row r="18" spans="2:13" ht="16.5" customHeight="1">
      <c r="B18" s="28"/>
      <c r="C18" s="29" t="s">
        <v>0</v>
      </c>
      <c r="D18" s="11" t="s">
        <v>11</v>
      </c>
      <c r="E18" s="5" t="s">
        <v>0</v>
      </c>
      <c r="F18" s="55">
        <v>69.7</v>
      </c>
      <c r="G18" s="54"/>
      <c r="H18" s="55">
        <v>68.599999999999994</v>
      </c>
      <c r="I18" s="54"/>
      <c r="J18" s="159">
        <v>70.099999999999994</v>
      </c>
      <c r="K18" s="54"/>
      <c r="L18" s="56">
        <f t="shared" si="0"/>
        <v>-1.1000000000000085</v>
      </c>
      <c r="M18" s="56">
        <f t="shared" si="1"/>
        <v>1.5</v>
      </c>
    </row>
    <row r="19" spans="2:13" ht="16.5" customHeight="1">
      <c r="B19" s="28"/>
      <c r="C19" s="29" t="s">
        <v>0</v>
      </c>
      <c r="D19" s="30" t="s">
        <v>12</v>
      </c>
      <c r="E19" s="5" t="s">
        <v>0</v>
      </c>
      <c r="F19" s="55">
        <v>80.2</v>
      </c>
      <c r="G19" s="54"/>
      <c r="H19" s="55">
        <v>79.8</v>
      </c>
      <c r="I19" s="54"/>
      <c r="J19" s="159">
        <v>80.5</v>
      </c>
      <c r="K19" s="54"/>
      <c r="L19" s="56">
        <f t="shared" si="0"/>
        <v>-0.40000000000000568</v>
      </c>
      <c r="M19" s="56">
        <f t="shared" si="1"/>
        <v>0.70000000000000284</v>
      </c>
    </row>
    <row r="20" spans="2:13" ht="16.5" customHeight="1">
      <c r="B20" s="28"/>
      <c r="C20" s="29" t="s">
        <v>0</v>
      </c>
      <c r="D20" s="11" t="s">
        <v>24</v>
      </c>
      <c r="E20" s="5" t="s">
        <v>0</v>
      </c>
      <c r="F20" s="55">
        <v>69.099999999999994</v>
      </c>
      <c r="G20" s="54"/>
      <c r="H20" s="55">
        <v>64.099999999999994</v>
      </c>
      <c r="I20" s="54"/>
      <c r="J20" s="159">
        <v>67.900000000000006</v>
      </c>
      <c r="K20" s="54"/>
      <c r="L20" s="56">
        <f t="shared" si="0"/>
        <v>-5</v>
      </c>
      <c r="M20" s="56">
        <f t="shared" si="1"/>
        <v>3.8000000000000114</v>
      </c>
    </row>
    <row r="21" spans="2:13" ht="16.5" customHeight="1">
      <c r="B21" s="28"/>
      <c r="C21" s="275" t="s">
        <v>54</v>
      </c>
      <c r="D21" s="275"/>
      <c r="E21" s="4" t="s">
        <v>0</v>
      </c>
      <c r="F21" s="52">
        <v>74.099999999999994</v>
      </c>
      <c r="G21" s="50"/>
      <c r="H21" s="52">
        <v>72.5</v>
      </c>
      <c r="I21" s="50"/>
      <c r="J21" s="158">
        <v>70.900000000000006</v>
      </c>
      <c r="K21" s="50"/>
      <c r="L21" s="53">
        <f t="shared" si="0"/>
        <v>-1.5999999999999943</v>
      </c>
      <c r="M21" s="53">
        <f t="shared" si="1"/>
        <v>-1.5999999999999943</v>
      </c>
    </row>
    <row r="22" spans="2:13" ht="16.5" customHeight="1">
      <c r="B22" s="28"/>
      <c r="C22" s="29" t="s">
        <v>0</v>
      </c>
      <c r="D22" s="11" t="s">
        <v>64</v>
      </c>
      <c r="E22" s="5" t="s">
        <v>0</v>
      </c>
      <c r="F22" s="55">
        <v>71</v>
      </c>
      <c r="G22" s="54"/>
      <c r="H22" s="55">
        <v>66.7</v>
      </c>
      <c r="I22" s="54"/>
      <c r="J22" s="159">
        <v>64</v>
      </c>
      <c r="K22" s="54"/>
      <c r="L22" s="56">
        <f t="shared" si="0"/>
        <v>-4.2999999999999972</v>
      </c>
      <c r="M22" s="56">
        <f t="shared" si="1"/>
        <v>-2.7000000000000028</v>
      </c>
    </row>
    <row r="23" spans="2:13" ht="16.5" customHeight="1">
      <c r="B23" s="28"/>
      <c r="C23" s="29" t="s">
        <v>0</v>
      </c>
      <c r="D23" s="11" t="s">
        <v>25</v>
      </c>
      <c r="E23" s="5" t="s">
        <v>0</v>
      </c>
      <c r="F23" s="55">
        <v>72.900000000000006</v>
      </c>
      <c r="G23" s="54"/>
      <c r="H23" s="55">
        <v>69.5</v>
      </c>
      <c r="I23" s="54"/>
      <c r="J23" s="159">
        <v>73.5</v>
      </c>
      <c r="K23" s="54"/>
      <c r="L23" s="56">
        <f t="shared" si="0"/>
        <v>-3.4000000000000057</v>
      </c>
      <c r="M23" s="56">
        <f t="shared" si="1"/>
        <v>4</v>
      </c>
    </row>
    <row r="24" spans="2:13" ht="16.5" customHeight="1">
      <c r="B24" s="28"/>
      <c r="C24" s="29" t="s">
        <v>0</v>
      </c>
      <c r="D24" s="11" t="s">
        <v>26</v>
      </c>
      <c r="E24" s="5" t="s">
        <v>0</v>
      </c>
      <c r="F24" s="55">
        <v>73.900000000000006</v>
      </c>
      <c r="G24" s="54"/>
      <c r="H24" s="55">
        <v>70.599999999999994</v>
      </c>
      <c r="I24" s="54"/>
      <c r="J24" s="159">
        <v>70</v>
      </c>
      <c r="K24" s="54"/>
      <c r="L24" s="56">
        <f t="shared" si="0"/>
        <v>-3.3000000000000114</v>
      </c>
      <c r="M24" s="56">
        <f t="shared" si="1"/>
        <v>-0.59999999999999432</v>
      </c>
    </row>
    <row r="25" spans="2:13" ht="16.5" customHeight="1">
      <c r="B25" s="28"/>
      <c r="C25" s="29" t="s">
        <v>0</v>
      </c>
      <c r="D25" s="11" t="s">
        <v>27</v>
      </c>
      <c r="E25" s="5" t="s">
        <v>0</v>
      </c>
      <c r="F25" s="55">
        <v>78.7</v>
      </c>
      <c r="G25" s="54"/>
      <c r="H25" s="55">
        <v>80.8</v>
      </c>
      <c r="I25" s="54"/>
      <c r="J25" s="159">
        <v>79.2</v>
      </c>
      <c r="K25" s="54"/>
      <c r="L25" s="56">
        <f t="shared" si="0"/>
        <v>2.0999999999999943</v>
      </c>
      <c r="M25" s="56">
        <f t="shared" si="1"/>
        <v>-1.5999999999999943</v>
      </c>
    </row>
    <row r="26" spans="2:13" s="128" customFormat="1" ht="16.5" customHeight="1">
      <c r="B26" s="127"/>
      <c r="C26" s="275" t="s">
        <v>216</v>
      </c>
      <c r="D26" s="275"/>
      <c r="E26" s="4"/>
      <c r="F26" s="52">
        <v>48.1</v>
      </c>
      <c r="G26" s="50"/>
      <c r="H26" s="52">
        <v>50.9</v>
      </c>
      <c r="I26" s="50"/>
      <c r="J26" s="158">
        <v>47.7</v>
      </c>
      <c r="K26" s="50"/>
      <c r="L26" s="53">
        <f t="shared" si="0"/>
        <v>2.7999999999999972</v>
      </c>
      <c r="M26" s="53">
        <f t="shared" si="1"/>
        <v>-3.1999999999999957</v>
      </c>
    </row>
    <row r="27" spans="2:13" ht="16.5" customHeight="1">
      <c r="B27" s="275" t="s">
        <v>53</v>
      </c>
      <c r="C27" s="275"/>
      <c r="D27" s="275"/>
      <c r="E27" s="4" t="s">
        <v>0</v>
      </c>
      <c r="F27" s="52">
        <v>69.5</v>
      </c>
      <c r="G27" s="50"/>
      <c r="H27" s="52">
        <v>60.4</v>
      </c>
      <c r="I27" s="50"/>
      <c r="J27" s="158">
        <v>60.1</v>
      </c>
      <c r="K27" s="50"/>
      <c r="L27" s="53">
        <f t="shared" si="0"/>
        <v>-9.1000000000000014</v>
      </c>
      <c r="M27" s="53">
        <f t="shared" si="1"/>
        <v>-0.29999999999999716</v>
      </c>
    </row>
    <row r="28" spans="2:13" ht="16.5" customHeight="1">
      <c r="B28" s="28"/>
      <c r="C28" s="29" t="s">
        <v>0</v>
      </c>
      <c r="D28" s="11" t="s">
        <v>42</v>
      </c>
      <c r="E28" s="5" t="s">
        <v>0</v>
      </c>
      <c r="F28" s="55">
        <v>72.400000000000006</v>
      </c>
      <c r="G28" s="55"/>
      <c r="H28" s="55">
        <v>63.2</v>
      </c>
      <c r="I28" s="54"/>
      <c r="J28" s="159">
        <v>63.8</v>
      </c>
      <c r="K28" s="54"/>
      <c r="L28" s="56">
        <f t="shared" si="0"/>
        <v>-9.2000000000000028</v>
      </c>
      <c r="M28" s="56">
        <f t="shared" si="1"/>
        <v>0.59999999999999432</v>
      </c>
    </row>
    <row r="29" spans="2:13" ht="16.5" customHeight="1">
      <c r="B29" s="28"/>
      <c r="C29" s="29" t="s">
        <v>0</v>
      </c>
      <c r="D29" s="11" t="s">
        <v>43</v>
      </c>
      <c r="E29" s="5" t="s">
        <v>0</v>
      </c>
      <c r="F29" s="55">
        <v>57.5</v>
      </c>
      <c r="G29" s="55"/>
      <c r="H29" s="55">
        <v>46.6</v>
      </c>
      <c r="I29" s="54"/>
      <c r="J29" s="159">
        <v>49.9</v>
      </c>
      <c r="K29" s="54"/>
      <c r="L29" s="56">
        <f t="shared" si="0"/>
        <v>-10.899999999999999</v>
      </c>
      <c r="M29" s="56">
        <f t="shared" si="1"/>
        <v>3.2999999999999972</v>
      </c>
    </row>
    <row r="30" spans="2:13" ht="16.5" customHeight="1">
      <c r="B30" s="275" t="s">
        <v>15</v>
      </c>
      <c r="C30" s="275"/>
      <c r="D30" s="275"/>
      <c r="E30" s="5" t="s">
        <v>0</v>
      </c>
      <c r="F30" s="52">
        <v>61.7</v>
      </c>
      <c r="G30" s="50"/>
      <c r="H30" s="52">
        <v>58.2</v>
      </c>
      <c r="I30" s="50"/>
      <c r="J30" s="158">
        <v>55.4</v>
      </c>
      <c r="K30" s="50"/>
      <c r="L30" s="53">
        <f t="shared" si="0"/>
        <v>-3.5</v>
      </c>
      <c r="M30" s="53">
        <f t="shared" si="1"/>
        <v>-2.8000000000000043</v>
      </c>
    </row>
    <row r="31" spans="2:13" ht="16.5" customHeight="1">
      <c r="B31" s="275" t="s">
        <v>52</v>
      </c>
      <c r="C31" s="276"/>
      <c r="D31" s="276"/>
      <c r="E31" s="4" t="s">
        <v>0</v>
      </c>
      <c r="F31" s="52">
        <v>42.8</v>
      </c>
      <c r="G31" s="50"/>
      <c r="H31" s="52">
        <v>43</v>
      </c>
      <c r="I31" s="50"/>
      <c r="J31" s="158">
        <v>42.2</v>
      </c>
      <c r="K31" s="50"/>
      <c r="L31" s="53">
        <f t="shared" si="0"/>
        <v>0.20000000000000284</v>
      </c>
      <c r="M31" s="53">
        <f t="shared" si="1"/>
        <v>-0.79999999999999716</v>
      </c>
    </row>
    <row r="32" spans="2:13" ht="16.5" customHeight="1">
      <c r="B32" s="28"/>
      <c r="C32" s="275" t="s">
        <v>51</v>
      </c>
      <c r="D32" s="275"/>
      <c r="E32" s="4" t="s">
        <v>0</v>
      </c>
      <c r="F32" s="52">
        <v>53.1</v>
      </c>
      <c r="G32" s="50"/>
      <c r="H32" s="52">
        <v>51.1</v>
      </c>
      <c r="I32" s="50"/>
      <c r="J32" s="158">
        <v>49.6</v>
      </c>
      <c r="K32" s="50"/>
      <c r="L32" s="53">
        <f t="shared" si="0"/>
        <v>-2</v>
      </c>
      <c r="M32" s="53">
        <f t="shared" si="1"/>
        <v>-1.5</v>
      </c>
    </row>
    <row r="33" spans="2:13" ht="16.5" customHeight="1">
      <c r="B33" s="28"/>
      <c r="C33" s="29" t="s">
        <v>0</v>
      </c>
      <c r="D33" s="11" t="s">
        <v>28</v>
      </c>
      <c r="E33" s="5" t="s">
        <v>0</v>
      </c>
      <c r="F33" s="55">
        <v>43.2</v>
      </c>
      <c r="G33" s="55"/>
      <c r="H33" s="55">
        <v>45.3</v>
      </c>
      <c r="I33" s="54"/>
      <c r="J33" s="159">
        <v>45.3</v>
      </c>
      <c r="K33" s="54"/>
      <c r="L33" s="56">
        <f t="shared" si="0"/>
        <v>2.0999999999999943</v>
      </c>
      <c r="M33" s="56">
        <f t="shared" si="1"/>
        <v>0</v>
      </c>
    </row>
    <row r="34" spans="2:13" ht="16.5" customHeight="1">
      <c r="B34" s="28"/>
      <c r="C34" s="29" t="s">
        <v>0</v>
      </c>
      <c r="D34" s="11" t="s">
        <v>17</v>
      </c>
      <c r="E34" s="5" t="s">
        <v>0</v>
      </c>
      <c r="F34" s="55">
        <v>67.3</v>
      </c>
      <c r="G34" s="55"/>
      <c r="H34" s="55">
        <v>61.2</v>
      </c>
      <c r="I34" s="54"/>
      <c r="J34" s="159">
        <v>59.2</v>
      </c>
      <c r="K34" s="54"/>
      <c r="L34" s="56">
        <f t="shared" si="0"/>
        <v>-6.0999999999999943</v>
      </c>
      <c r="M34" s="56">
        <f t="shared" si="1"/>
        <v>-2</v>
      </c>
    </row>
    <row r="35" spans="2:13" ht="16.5" customHeight="1">
      <c r="B35" s="28"/>
      <c r="C35" s="275" t="s">
        <v>50</v>
      </c>
      <c r="D35" s="275"/>
      <c r="E35" s="4" t="s">
        <v>0</v>
      </c>
      <c r="F35" s="52">
        <v>38.200000000000003</v>
      </c>
      <c r="G35" s="50"/>
      <c r="H35" s="52">
        <v>38.4</v>
      </c>
      <c r="I35" s="50"/>
      <c r="J35" s="158">
        <v>37.700000000000003</v>
      </c>
      <c r="K35" s="50"/>
      <c r="L35" s="53">
        <f t="shared" si="0"/>
        <v>0.19999999999999574</v>
      </c>
      <c r="M35" s="53">
        <f t="shared" si="1"/>
        <v>-0.69999999999999574</v>
      </c>
    </row>
    <row r="36" spans="2:13" ht="16.5" customHeight="1">
      <c r="B36" s="28"/>
      <c r="C36" s="29" t="s">
        <v>0</v>
      </c>
      <c r="D36" s="11" t="s">
        <v>29</v>
      </c>
      <c r="E36" s="5" t="s">
        <v>0</v>
      </c>
      <c r="F36" s="55">
        <v>47.5</v>
      </c>
      <c r="G36" s="55"/>
      <c r="H36" s="55">
        <v>46.1</v>
      </c>
      <c r="I36" s="54"/>
      <c r="J36" s="159">
        <v>45.3</v>
      </c>
      <c r="K36" s="54"/>
      <c r="L36" s="56">
        <f t="shared" si="0"/>
        <v>-1.3999999999999986</v>
      </c>
      <c r="M36" s="56">
        <f t="shared" si="1"/>
        <v>-0.80000000000000426</v>
      </c>
    </row>
    <row r="37" spans="2:13" ht="16.5" customHeight="1">
      <c r="B37" s="28"/>
      <c r="C37" s="29" t="s">
        <v>0</v>
      </c>
      <c r="D37" s="11" t="s">
        <v>30</v>
      </c>
      <c r="E37" s="5" t="s">
        <v>0</v>
      </c>
      <c r="F37" s="55">
        <v>40.799999999999997</v>
      </c>
      <c r="G37" s="55"/>
      <c r="H37" s="55">
        <v>41.2</v>
      </c>
      <c r="I37" s="54"/>
      <c r="J37" s="159">
        <v>38.5</v>
      </c>
      <c r="K37" s="54"/>
      <c r="L37" s="56">
        <f t="shared" si="0"/>
        <v>0.40000000000000568</v>
      </c>
      <c r="M37" s="56">
        <f t="shared" si="1"/>
        <v>-2.7000000000000028</v>
      </c>
    </row>
    <row r="38" spans="2:13" ht="16.5" customHeight="1">
      <c r="B38" s="28"/>
      <c r="C38" s="29" t="s">
        <v>0</v>
      </c>
      <c r="D38" s="11" t="s">
        <v>31</v>
      </c>
      <c r="E38" s="5" t="s">
        <v>0</v>
      </c>
      <c r="F38" s="55">
        <v>20.399999999999999</v>
      </c>
      <c r="G38" s="55"/>
      <c r="H38" s="55">
        <v>23.6</v>
      </c>
      <c r="I38" s="54"/>
      <c r="J38" s="159">
        <v>25.3</v>
      </c>
      <c r="K38" s="54"/>
      <c r="L38" s="56">
        <f t="shared" si="0"/>
        <v>3.2000000000000028</v>
      </c>
      <c r="M38" s="56">
        <f t="shared" si="1"/>
        <v>1.6999999999999993</v>
      </c>
    </row>
    <row r="39" spans="2:13" ht="16.5" customHeight="1">
      <c r="B39" s="28"/>
      <c r="C39" s="29" t="s">
        <v>0</v>
      </c>
      <c r="D39" s="11" t="s">
        <v>32</v>
      </c>
      <c r="E39" s="5" t="s">
        <v>0</v>
      </c>
      <c r="F39" s="55">
        <v>50</v>
      </c>
      <c r="G39" s="55"/>
      <c r="H39" s="55">
        <v>49.1</v>
      </c>
      <c r="I39" s="54"/>
      <c r="J39" s="159">
        <v>46</v>
      </c>
      <c r="K39" s="54"/>
      <c r="L39" s="56">
        <f t="shared" si="0"/>
        <v>-0.89999999999999858</v>
      </c>
      <c r="M39" s="56">
        <f t="shared" si="1"/>
        <v>-3.1000000000000014</v>
      </c>
    </row>
    <row r="40" spans="2:13" ht="16.5" customHeight="1">
      <c r="B40" s="28"/>
      <c r="C40" s="29" t="s">
        <v>0</v>
      </c>
      <c r="D40" s="11" t="s">
        <v>33</v>
      </c>
      <c r="E40" s="5" t="s">
        <v>0</v>
      </c>
      <c r="F40" s="55">
        <v>30</v>
      </c>
      <c r="G40" s="55"/>
      <c r="H40" s="55">
        <v>30.1</v>
      </c>
      <c r="I40" s="54"/>
      <c r="J40" s="159">
        <v>34.6</v>
      </c>
      <c r="K40" s="54"/>
      <c r="L40" s="56">
        <f t="shared" si="0"/>
        <v>0.10000000000000142</v>
      </c>
      <c r="M40" s="56">
        <f t="shared" si="1"/>
        <v>4.5</v>
      </c>
    </row>
    <row r="41" spans="2:13" ht="16.5" customHeight="1">
      <c r="B41" s="28"/>
      <c r="C41" s="275" t="s">
        <v>49</v>
      </c>
      <c r="D41" s="275"/>
      <c r="E41" s="4" t="s">
        <v>0</v>
      </c>
      <c r="F41" s="52">
        <v>32.5</v>
      </c>
      <c r="G41" s="50"/>
      <c r="H41" s="52">
        <v>33.5</v>
      </c>
      <c r="I41" s="50"/>
      <c r="J41" s="158">
        <v>32.700000000000003</v>
      </c>
      <c r="K41" s="50"/>
      <c r="L41" s="53">
        <f t="shared" si="0"/>
        <v>1</v>
      </c>
      <c r="M41" s="53">
        <f t="shared" si="1"/>
        <v>-0.79999999999999716</v>
      </c>
    </row>
    <row r="42" spans="2:13" ht="16.5" customHeight="1">
      <c r="B42" s="28"/>
      <c r="C42" s="29" t="s">
        <v>0</v>
      </c>
      <c r="D42" s="11" t="s">
        <v>34</v>
      </c>
      <c r="E42" s="5" t="s">
        <v>0</v>
      </c>
      <c r="F42" s="55">
        <v>28.2</v>
      </c>
      <c r="G42" s="55"/>
      <c r="H42" s="55">
        <v>22.6</v>
      </c>
      <c r="I42" s="54"/>
      <c r="J42" s="159">
        <v>25.2</v>
      </c>
      <c r="K42" s="54"/>
      <c r="L42" s="56">
        <f t="shared" si="0"/>
        <v>-5.5999999999999979</v>
      </c>
      <c r="M42" s="56">
        <f t="shared" si="1"/>
        <v>2.5999999999999979</v>
      </c>
    </row>
    <row r="43" spans="2:13" ht="16.5" customHeight="1">
      <c r="B43" s="28"/>
      <c r="C43" s="29" t="s">
        <v>0</v>
      </c>
      <c r="D43" s="11" t="s">
        <v>20</v>
      </c>
      <c r="E43" s="5" t="s">
        <v>0</v>
      </c>
      <c r="F43" s="55">
        <v>24.5</v>
      </c>
      <c r="G43" s="55"/>
      <c r="H43" s="55">
        <v>30.9</v>
      </c>
      <c r="I43" s="54"/>
      <c r="J43" s="159">
        <v>30.1</v>
      </c>
      <c r="K43" s="54"/>
      <c r="L43" s="56">
        <f t="shared" si="0"/>
        <v>6.3999999999999986</v>
      </c>
      <c r="M43" s="56">
        <f t="shared" si="1"/>
        <v>-0.79999999999999716</v>
      </c>
    </row>
    <row r="44" spans="2:13" ht="16.5" customHeight="1">
      <c r="B44" s="28"/>
      <c r="C44" s="29" t="s">
        <v>0</v>
      </c>
      <c r="D44" s="11" t="s">
        <v>21</v>
      </c>
      <c r="E44" s="5" t="s">
        <v>0</v>
      </c>
      <c r="F44" s="55">
        <v>45.7</v>
      </c>
      <c r="G44" s="55"/>
      <c r="H44" s="55">
        <v>47.2</v>
      </c>
      <c r="I44" s="54"/>
      <c r="J44" s="159">
        <v>41.6</v>
      </c>
      <c r="K44" s="54"/>
      <c r="L44" s="56">
        <f t="shared" si="0"/>
        <v>1.5</v>
      </c>
      <c r="M44" s="56">
        <f t="shared" si="1"/>
        <v>-5.6000000000000014</v>
      </c>
    </row>
    <row r="45" spans="2:13" ht="16.5" customHeight="1">
      <c r="B45" s="28"/>
      <c r="C45" s="275" t="s">
        <v>48</v>
      </c>
      <c r="D45" s="275"/>
      <c r="E45" s="4" t="s">
        <v>0</v>
      </c>
      <c r="F45" s="52">
        <v>55.1</v>
      </c>
      <c r="G45" s="50"/>
      <c r="H45" s="52">
        <v>59.4</v>
      </c>
      <c r="I45" s="50"/>
      <c r="J45" s="158">
        <v>61.8</v>
      </c>
      <c r="K45" s="50"/>
      <c r="L45" s="53">
        <f t="shared" si="0"/>
        <v>4.2999999999999972</v>
      </c>
      <c r="M45" s="53">
        <f t="shared" si="1"/>
        <v>2.3999999999999986</v>
      </c>
    </row>
    <row r="46" spans="2:13" ht="16.5" customHeight="1">
      <c r="B46" s="28"/>
      <c r="C46" s="29" t="s">
        <v>0</v>
      </c>
      <c r="D46" s="11" t="s">
        <v>23</v>
      </c>
      <c r="E46" s="5" t="s">
        <v>0</v>
      </c>
      <c r="F46" s="55">
        <v>62.4</v>
      </c>
      <c r="G46" s="55"/>
      <c r="H46" s="55">
        <v>65.5</v>
      </c>
      <c r="I46" s="54"/>
      <c r="J46" s="159">
        <v>68.3</v>
      </c>
      <c r="K46" s="54"/>
      <c r="L46" s="56">
        <f t="shared" si="0"/>
        <v>3.1000000000000014</v>
      </c>
      <c r="M46" s="56">
        <f t="shared" si="1"/>
        <v>2.7999999999999972</v>
      </c>
    </row>
    <row r="47" spans="2:13" ht="16.5" customHeight="1">
      <c r="B47" s="28"/>
      <c r="C47" s="29" t="s">
        <v>0</v>
      </c>
      <c r="D47" s="11" t="s">
        <v>35</v>
      </c>
      <c r="E47" s="5" t="s">
        <v>0</v>
      </c>
      <c r="F47" s="55">
        <v>42.9</v>
      </c>
      <c r="G47" s="55"/>
      <c r="H47" s="57">
        <v>44.8</v>
      </c>
      <c r="I47" s="54"/>
      <c r="J47" s="160">
        <v>46.1</v>
      </c>
      <c r="K47" s="54"/>
      <c r="L47" s="56">
        <f t="shared" si="0"/>
        <v>1.8999999999999986</v>
      </c>
      <c r="M47" s="56">
        <f t="shared" si="1"/>
        <v>1.3000000000000043</v>
      </c>
    </row>
    <row r="48" spans="2:13" ht="16.5" customHeight="1">
      <c r="B48" s="28"/>
      <c r="C48" s="29"/>
      <c r="D48" s="11" t="s">
        <v>36</v>
      </c>
      <c r="E48" s="5"/>
      <c r="F48" s="57">
        <v>49.2</v>
      </c>
      <c r="G48" s="57"/>
      <c r="H48" s="57">
        <v>55.6</v>
      </c>
      <c r="I48" s="56"/>
      <c r="J48" s="160">
        <v>56.3</v>
      </c>
      <c r="K48" s="56"/>
      <c r="L48" s="56">
        <f t="shared" si="0"/>
        <v>6.3999999999999986</v>
      </c>
      <c r="M48" s="56">
        <f t="shared" si="1"/>
        <v>0.69999999999999574</v>
      </c>
    </row>
    <row r="49" spans="2:13" ht="16.5" customHeight="1">
      <c r="B49" s="276" t="s">
        <v>59</v>
      </c>
      <c r="C49" s="276"/>
      <c r="D49" s="276"/>
      <c r="E49" s="4" t="s">
        <v>0</v>
      </c>
      <c r="F49" s="66">
        <v>100</v>
      </c>
      <c r="G49" s="52"/>
      <c r="H49" s="66">
        <v>100</v>
      </c>
      <c r="I49" s="50"/>
      <c r="J49" s="161">
        <v>100</v>
      </c>
      <c r="K49" s="50"/>
      <c r="L49" s="58">
        <f t="shared" si="0"/>
        <v>0</v>
      </c>
      <c r="M49" s="58">
        <f t="shared" si="1"/>
        <v>0</v>
      </c>
    </row>
    <row r="50" spans="2:13" ht="16.5" customHeight="1" thickBot="1">
      <c r="B50" s="277" t="s">
        <v>65</v>
      </c>
      <c r="C50" s="277"/>
      <c r="D50" s="277"/>
      <c r="E50" s="6" t="s">
        <v>0</v>
      </c>
      <c r="F50" s="61">
        <v>59.5</v>
      </c>
      <c r="G50" s="61"/>
      <c r="H50" s="61">
        <v>57.3</v>
      </c>
      <c r="I50" s="60"/>
      <c r="J50" s="162">
        <v>55.3</v>
      </c>
      <c r="K50" s="60"/>
      <c r="L50" s="60">
        <f t="shared" si="0"/>
        <v>-2.2000000000000028</v>
      </c>
      <c r="M50" s="60">
        <f t="shared" si="1"/>
        <v>-2</v>
      </c>
    </row>
    <row r="51" spans="2:13" ht="9" customHeight="1" thickTop="1">
      <c r="D51" s="7"/>
    </row>
    <row r="52" spans="2:13">
      <c r="D52" s="12" t="s">
        <v>151</v>
      </c>
    </row>
    <row r="53" spans="2:13">
      <c r="D53" s="37"/>
      <c r="E53" s="12"/>
    </row>
  </sheetData>
  <mergeCells count="19">
    <mergeCell ref="B3:M3"/>
    <mergeCell ref="B4:M4"/>
    <mergeCell ref="C21:D21"/>
    <mergeCell ref="B27:D27"/>
    <mergeCell ref="B30:D30"/>
    <mergeCell ref="B6:D6"/>
    <mergeCell ref="B7:D7"/>
    <mergeCell ref="B8:D8"/>
    <mergeCell ref="B9:D9"/>
    <mergeCell ref="C10:D10"/>
    <mergeCell ref="C15:D15"/>
    <mergeCell ref="C26:D26"/>
    <mergeCell ref="C41:D41"/>
    <mergeCell ref="C45:D45"/>
    <mergeCell ref="B49:D49"/>
    <mergeCell ref="B50:D50"/>
    <mergeCell ref="B31:D31"/>
    <mergeCell ref="C32:D32"/>
    <mergeCell ref="C35:D35"/>
  </mergeCells>
  <phoneticPr fontId="1" type="noConversion"/>
  <hyperlinks>
    <hyperlink ref="A1" location="목차!A1" display="(목차로 이동)" xr:uid="{00000000-0004-0000-0300-000000000000}"/>
  </hyperlinks>
  <pageMargins left="0.7" right="0.7" top="0.75" bottom="0.75" header="0.3" footer="0.3"/>
  <pageSetup paperSize="9" scale="86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5" tint="0.79998168889431442"/>
    <pageSetUpPr fitToPage="1"/>
  </sheetPr>
  <dimension ref="A1:M53"/>
  <sheetViews>
    <sheetView view="pageBreakPreview" topLeftCell="A46" zoomScaleNormal="100" zoomScaleSheetLayoutView="100" workbookViewId="0"/>
  </sheetViews>
  <sheetFormatPr defaultRowHeight="16.5"/>
  <cols>
    <col min="1" max="1" width="2.625" customWidth="1"/>
    <col min="2" max="2" width="2.125" customWidth="1"/>
    <col min="3" max="3" width="2.125" style="7" customWidth="1"/>
    <col min="4" max="4" width="26.625" style="7" customWidth="1"/>
    <col min="5" max="5" width="1.625" customWidth="1"/>
    <col min="6" max="6" width="8.625" style="23" customWidth="1"/>
    <col min="7" max="7" width="1.625" customWidth="1"/>
    <col min="8" max="8" width="8.625" customWidth="1"/>
    <col min="9" max="9" width="1.625" customWidth="1"/>
    <col min="10" max="10" width="8.625" customWidth="1"/>
    <col min="11" max="11" width="1.625" customWidth="1"/>
    <col min="12" max="13" width="8.625" customWidth="1"/>
  </cols>
  <sheetData>
    <row r="1" spans="1:13">
      <c r="A1" s="32" t="s">
        <v>46</v>
      </c>
    </row>
    <row r="2" spans="1:13" ht="6" customHeight="1">
      <c r="A2" s="32"/>
    </row>
    <row r="3" spans="1:13" ht="18">
      <c r="B3" s="278" t="s">
        <v>58</v>
      </c>
      <c r="C3" s="278"/>
      <c r="D3" s="278"/>
      <c r="E3" s="278"/>
      <c r="F3" s="278"/>
      <c r="G3" s="278"/>
      <c r="H3" s="278"/>
      <c r="I3" s="278"/>
      <c r="J3" s="278"/>
      <c r="K3" s="278"/>
      <c r="L3" s="278"/>
      <c r="M3" s="278"/>
    </row>
    <row r="4" spans="1:13" ht="18.75" customHeight="1">
      <c r="B4" s="286" t="s">
        <v>47</v>
      </c>
      <c r="C4" s="288"/>
      <c r="D4" s="288"/>
      <c r="E4" s="288"/>
      <c r="F4" s="288"/>
      <c r="G4" s="288"/>
      <c r="H4" s="288"/>
      <c r="I4" s="288"/>
      <c r="J4" s="288"/>
      <c r="K4" s="288"/>
      <c r="L4" s="288"/>
      <c r="M4" s="288"/>
    </row>
    <row r="5" spans="1:13" ht="8.25" customHeight="1" thickBot="1">
      <c r="B5" s="25"/>
      <c r="L5" s="25"/>
      <c r="M5" s="25"/>
    </row>
    <row r="6" spans="1:13" ht="18" thickTop="1" thickBot="1">
      <c r="B6" s="283" t="s">
        <v>0</v>
      </c>
      <c r="C6" s="287"/>
      <c r="D6" s="287"/>
      <c r="E6" s="2" t="s">
        <v>0</v>
      </c>
      <c r="F6" s="163" t="s">
        <v>290</v>
      </c>
      <c r="G6" s="2" t="s">
        <v>0</v>
      </c>
      <c r="H6" s="163" t="s">
        <v>291</v>
      </c>
      <c r="I6" s="3" t="s">
        <v>0</v>
      </c>
      <c r="J6" s="164" t="s">
        <v>292</v>
      </c>
      <c r="K6" s="3"/>
      <c r="L6" s="153" t="s">
        <v>251</v>
      </c>
      <c r="M6" s="153" t="s">
        <v>252</v>
      </c>
    </row>
    <row r="7" spans="1:13" ht="16.5" customHeight="1" thickTop="1">
      <c r="B7" s="281" t="s">
        <v>1</v>
      </c>
      <c r="C7" s="281"/>
      <c r="D7" s="281"/>
      <c r="E7" s="4" t="s">
        <v>0</v>
      </c>
      <c r="F7" s="52">
        <v>93.34</v>
      </c>
      <c r="G7" s="50"/>
      <c r="H7" s="51">
        <v>93.31</v>
      </c>
      <c r="I7" s="50"/>
      <c r="J7" s="157">
        <v>93.37</v>
      </c>
      <c r="K7" s="50"/>
      <c r="L7" s="49">
        <f t="shared" ref="L7:L50" si="0">H7-F7</f>
        <v>-3.0000000000001137E-2</v>
      </c>
      <c r="M7" s="49">
        <f t="shared" ref="M7:M50" si="1">J7-H7</f>
        <v>6.0000000000002274E-2</v>
      </c>
    </row>
    <row r="8" spans="1:13" ht="16.5" customHeight="1">
      <c r="B8" s="275" t="s">
        <v>2</v>
      </c>
      <c r="C8" s="275"/>
      <c r="D8" s="275"/>
      <c r="E8" s="4" t="s">
        <v>0</v>
      </c>
      <c r="F8" s="52">
        <v>98.52</v>
      </c>
      <c r="G8" s="50"/>
      <c r="H8" s="52">
        <v>98.58</v>
      </c>
      <c r="I8" s="50"/>
      <c r="J8" s="158">
        <v>98.79</v>
      </c>
      <c r="K8" s="50"/>
      <c r="L8" s="53">
        <f t="shared" si="0"/>
        <v>6.0000000000002274E-2</v>
      </c>
      <c r="M8" s="53">
        <f t="shared" si="1"/>
        <v>0.21000000000000796</v>
      </c>
    </row>
    <row r="9" spans="1:13" ht="16.5" customHeight="1">
      <c r="B9" s="275" t="s">
        <v>57</v>
      </c>
      <c r="C9" s="275"/>
      <c r="D9" s="275"/>
      <c r="E9" s="4" t="s">
        <v>0</v>
      </c>
      <c r="F9" s="52">
        <v>67.41</v>
      </c>
      <c r="G9" s="50"/>
      <c r="H9" s="52">
        <v>71.239999999999995</v>
      </c>
      <c r="I9" s="50"/>
      <c r="J9" s="158">
        <v>72.930000000000007</v>
      </c>
      <c r="K9" s="50"/>
      <c r="L9" s="53">
        <f t="shared" si="0"/>
        <v>3.8299999999999983</v>
      </c>
      <c r="M9" s="53">
        <f t="shared" si="1"/>
        <v>1.6900000000000119</v>
      </c>
    </row>
    <row r="10" spans="1:13" ht="16.5" customHeight="1">
      <c r="B10" s="28"/>
      <c r="C10" s="275" t="s">
        <v>56</v>
      </c>
      <c r="D10" s="275"/>
      <c r="E10" s="4" t="s">
        <v>0</v>
      </c>
      <c r="F10" s="52">
        <v>79.53</v>
      </c>
      <c r="G10" s="50"/>
      <c r="H10" s="52">
        <v>76.569999999999993</v>
      </c>
      <c r="I10" s="50"/>
      <c r="J10" s="158">
        <v>79.510000000000005</v>
      </c>
      <c r="K10" s="50"/>
      <c r="L10" s="53">
        <f t="shared" si="0"/>
        <v>-2.960000000000008</v>
      </c>
      <c r="M10" s="53">
        <f t="shared" si="1"/>
        <v>2.9400000000000119</v>
      </c>
    </row>
    <row r="11" spans="1:13" ht="16.5" customHeight="1">
      <c r="B11" s="28"/>
      <c r="C11" s="29" t="s">
        <v>0</v>
      </c>
      <c r="D11" s="11" t="s">
        <v>5</v>
      </c>
      <c r="E11" s="5" t="s">
        <v>0</v>
      </c>
      <c r="F11" s="55">
        <v>82.57</v>
      </c>
      <c r="G11" s="54"/>
      <c r="H11" s="55">
        <v>82.82</v>
      </c>
      <c r="I11" s="54"/>
      <c r="J11" s="159">
        <v>83.18</v>
      </c>
      <c r="K11" s="54"/>
      <c r="L11" s="59">
        <f t="shared" si="0"/>
        <v>0.25</v>
      </c>
      <c r="M11" s="59">
        <f t="shared" si="1"/>
        <v>0.36000000000001364</v>
      </c>
    </row>
    <row r="12" spans="1:13" ht="16.5" customHeight="1">
      <c r="B12" s="28"/>
      <c r="C12" s="29" t="s">
        <v>0</v>
      </c>
      <c r="D12" s="11" t="s">
        <v>6</v>
      </c>
      <c r="E12" s="5" t="s">
        <v>0</v>
      </c>
      <c r="F12" s="55">
        <v>75.23</v>
      </c>
      <c r="G12" s="54"/>
      <c r="H12" s="55">
        <v>64.599999999999994</v>
      </c>
      <c r="I12" s="54"/>
      <c r="J12" s="159">
        <v>66.3</v>
      </c>
      <c r="K12" s="54"/>
      <c r="L12" s="59">
        <f t="shared" si="0"/>
        <v>-10.63000000000001</v>
      </c>
      <c r="M12" s="59">
        <f t="shared" si="1"/>
        <v>1.7000000000000028</v>
      </c>
    </row>
    <row r="13" spans="1:13" ht="16.5" customHeight="1">
      <c r="B13" s="28"/>
      <c r="C13" s="29" t="s">
        <v>0</v>
      </c>
      <c r="D13" s="11" t="s">
        <v>7</v>
      </c>
      <c r="E13" s="5" t="s">
        <v>0</v>
      </c>
      <c r="F13" s="55">
        <v>76.650000000000006</v>
      </c>
      <c r="G13" s="54"/>
      <c r="H13" s="55">
        <v>79.25</v>
      </c>
      <c r="I13" s="54"/>
      <c r="J13" s="159">
        <v>84.22</v>
      </c>
      <c r="K13" s="54"/>
      <c r="L13" s="59">
        <f t="shared" si="0"/>
        <v>2.5999999999999943</v>
      </c>
      <c r="M13" s="59">
        <f t="shared" si="1"/>
        <v>4.9699999999999989</v>
      </c>
    </row>
    <row r="14" spans="1:13" ht="16.5" customHeight="1">
      <c r="B14" s="28"/>
      <c r="C14" s="29" t="s">
        <v>0</v>
      </c>
      <c r="D14" s="11" t="s">
        <v>215</v>
      </c>
      <c r="E14" s="5" t="s">
        <v>0</v>
      </c>
      <c r="F14" s="55">
        <v>86.8</v>
      </c>
      <c r="G14" s="54"/>
      <c r="H14" s="55">
        <v>84.49</v>
      </c>
      <c r="I14" s="54"/>
      <c r="J14" s="159">
        <v>84.08</v>
      </c>
      <c r="K14" s="54"/>
      <c r="L14" s="59">
        <f t="shared" si="0"/>
        <v>-2.3100000000000023</v>
      </c>
      <c r="M14" s="59">
        <f t="shared" si="1"/>
        <v>-0.40999999999999659</v>
      </c>
    </row>
    <row r="15" spans="1:13" ht="16.5" customHeight="1">
      <c r="B15" s="28"/>
      <c r="C15" s="275" t="s">
        <v>55</v>
      </c>
      <c r="D15" s="275"/>
      <c r="E15" s="4" t="s">
        <v>0</v>
      </c>
      <c r="F15" s="52">
        <v>54.33</v>
      </c>
      <c r="G15" s="50"/>
      <c r="H15" s="52">
        <v>61.91</v>
      </c>
      <c r="I15" s="50"/>
      <c r="J15" s="158">
        <v>65.98</v>
      </c>
      <c r="K15" s="50"/>
      <c r="L15" s="53">
        <f t="shared" si="0"/>
        <v>7.5799999999999983</v>
      </c>
      <c r="M15" s="53">
        <f t="shared" si="1"/>
        <v>4.0700000000000074</v>
      </c>
    </row>
    <row r="16" spans="1:13" ht="16.5" customHeight="1">
      <c r="B16" s="28"/>
      <c r="C16" s="29" t="s">
        <v>0</v>
      </c>
      <c r="D16" s="11" t="s">
        <v>9</v>
      </c>
      <c r="E16" s="5" t="s">
        <v>0</v>
      </c>
      <c r="F16" s="55">
        <v>10.38</v>
      </c>
      <c r="G16" s="54"/>
      <c r="H16" s="55">
        <v>19.53</v>
      </c>
      <c r="I16" s="54"/>
      <c r="J16" s="159">
        <v>29.84</v>
      </c>
      <c r="K16" s="54"/>
      <c r="L16" s="59">
        <f t="shared" si="0"/>
        <v>9.15</v>
      </c>
      <c r="M16" s="59">
        <f t="shared" si="1"/>
        <v>10.309999999999999</v>
      </c>
    </row>
    <row r="17" spans="2:13" ht="16.5" customHeight="1">
      <c r="B17" s="28"/>
      <c r="C17" s="29" t="s">
        <v>0</v>
      </c>
      <c r="D17" s="11" t="s">
        <v>10</v>
      </c>
      <c r="E17" s="5" t="s">
        <v>0</v>
      </c>
      <c r="F17" s="55">
        <v>65.040000000000006</v>
      </c>
      <c r="G17" s="54"/>
      <c r="H17" s="55">
        <v>68.02</v>
      </c>
      <c r="I17" s="54"/>
      <c r="J17" s="159">
        <v>70.5</v>
      </c>
      <c r="K17" s="54"/>
      <c r="L17" s="59">
        <f t="shared" si="0"/>
        <v>2.9799999999999898</v>
      </c>
      <c r="M17" s="59">
        <f t="shared" si="1"/>
        <v>2.480000000000004</v>
      </c>
    </row>
    <row r="18" spans="2:13" ht="16.5" customHeight="1">
      <c r="B18" s="28"/>
      <c r="C18" s="29" t="s">
        <v>0</v>
      </c>
      <c r="D18" s="11" t="s">
        <v>11</v>
      </c>
      <c r="E18" s="5" t="s">
        <v>0</v>
      </c>
      <c r="F18" s="55">
        <v>76.84</v>
      </c>
      <c r="G18" s="54"/>
      <c r="H18" s="55">
        <v>88.36</v>
      </c>
      <c r="I18" s="54"/>
      <c r="J18" s="159">
        <v>87.64</v>
      </c>
      <c r="K18" s="54"/>
      <c r="L18" s="59">
        <f t="shared" si="0"/>
        <v>11.519999999999996</v>
      </c>
      <c r="M18" s="59">
        <f t="shared" si="1"/>
        <v>-0.71999999999999886</v>
      </c>
    </row>
    <row r="19" spans="2:13" ht="16.5" customHeight="1">
      <c r="B19" s="28"/>
      <c r="C19" s="29" t="s">
        <v>0</v>
      </c>
      <c r="D19" s="30" t="s">
        <v>12</v>
      </c>
      <c r="E19" s="5" t="s">
        <v>0</v>
      </c>
      <c r="F19" s="55">
        <v>51.98</v>
      </c>
      <c r="G19" s="54"/>
      <c r="H19" s="55">
        <v>58.36</v>
      </c>
      <c r="I19" s="54"/>
      <c r="J19" s="159">
        <v>59.83</v>
      </c>
      <c r="K19" s="54"/>
      <c r="L19" s="59">
        <f t="shared" si="0"/>
        <v>6.3800000000000026</v>
      </c>
      <c r="M19" s="59">
        <f t="shared" si="1"/>
        <v>1.4699999999999989</v>
      </c>
    </row>
    <row r="20" spans="2:13" ht="16.5" customHeight="1">
      <c r="B20" s="28"/>
      <c r="C20" s="29" t="s">
        <v>0</v>
      </c>
      <c r="D20" s="11" t="s">
        <v>24</v>
      </c>
      <c r="E20" s="5" t="s">
        <v>0</v>
      </c>
      <c r="F20" s="55">
        <v>86.55</v>
      </c>
      <c r="G20" s="54"/>
      <c r="H20" s="55">
        <v>89.88</v>
      </c>
      <c r="I20" s="54"/>
      <c r="J20" s="159">
        <v>91.31</v>
      </c>
      <c r="K20" s="54"/>
      <c r="L20" s="59">
        <f t="shared" si="0"/>
        <v>3.3299999999999983</v>
      </c>
      <c r="M20" s="59">
        <f t="shared" si="1"/>
        <v>1.4300000000000068</v>
      </c>
    </row>
    <row r="21" spans="2:13" ht="16.5" customHeight="1">
      <c r="B21" s="28"/>
      <c r="C21" s="275" t="s">
        <v>54</v>
      </c>
      <c r="D21" s="275"/>
      <c r="E21" s="4" t="s">
        <v>0</v>
      </c>
      <c r="F21" s="52">
        <v>74.08</v>
      </c>
      <c r="G21" s="50"/>
      <c r="H21" s="52">
        <v>75.48</v>
      </c>
      <c r="I21" s="50"/>
      <c r="J21" s="158">
        <v>75.03</v>
      </c>
      <c r="K21" s="50"/>
      <c r="L21" s="53">
        <f t="shared" si="0"/>
        <v>1.4000000000000057</v>
      </c>
      <c r="M21" s="53">
        <f t="shared" si="1"/>
        <v>-0.45000000000000284</v>
      </c>
    </row>
    <row r="22" spans="2:13" ht="16.5" customHeight="1">
      <c r="B22" s="28"/>
      <c r="C22" s="29" t="s">
        <v>0</v>
      </c>
      <c r="D22" s="11" t="s">
        <v>64</v>
      </c>
      <c r="E22" s="5" t="s">
        <v>0</v>
      </c>
      <c r="F22" s="55">
        <v>61.2</v>
      </c>
      <c r="G22" s="54"/>
      <c r="H22" s="55">
        <v>59.4</v>
      </c>
      <c r="I22" s="54"/>
      <c r="J22" s="159">
        <v>60.67</v>
      </c>
      <c r="K22" s="54"/>
      <c r="L22" s="59">
        <f t="shared" si="0"/>
        <v>-1.8000000000000043</v>
      </c>
      <c r="M22" s="59">
        <f t="shared" si="1"/>
        <v>1.2700000000000031</v>
      </c>
    </row>
    <row r="23" spans="2:13" ht="16.5" customHeight="1">
      <c r="B23" s="28"/>
      <c r="C23" s="29" t="s">
        <v>0</v>
      </c>
      <c r="D23" s="11" t="s">
        <v>25</v>
      </c>
      <c r="E23" s="5" t="s">
        <v>0</v>
      </c>
      <c r="F23" s="55">
        <v>80.63</v>
      </c>
      <c r="G23" s="54"/>
      <c r="H23" s="55">
        <v>78.83</v>
      </c>
      <c r="I23" s="54"/>
      <c r="J23" s="159">
        <v>76.08</v>
      </c>
      <c r="K23" s="54"/>
      <c r="L23" s="59">
        <f t="shared" si="0"/>
        <v>-1.7999999999999972</v>
      </c>
      <c r="M23" s="59">
        <f t="shared" si="1"/>
        <v>-2.75</v>
      </c>
    </row>
    <row r="24" spans="2:13" ht="16.5" customHeight="1">
      <c r="B24" s="28"/>
      <c r="C24" s="29" t="s">
        <v>0</v>
      </c>
      <c r="D24" s="11" t="s">
        <v>26</v>
      </c>
      <c r="E24" s="5" t="s">
        <v>0</v>
      </c>
      <c r="F24" s="55">
        <v>85.21</v>
      </c>
      <c r="G24" s="54"/>
      <c r="H24" s="55">
        <v>82.84</v>
      </c>
      <c r="I24" s="54"/>
      <c r="J24" s="159">
        <v>81.62</v>
      </c>
      <c r="K24" s="54"/>
      <c r="L24" s="59">
        <f t="shared" si="0"/>
        <v>-2.3699999999999903</v>
      </c>
      <c r="M24" s="59">
        <f t="shared" si="1"/>
        <v>-1.2199999999999989</v>
      </c>
    </row>
    <row r="25" spans="2:13" ht="16.5" customHeight="1">
      <c r="B25" s="28"/>
      <c r="C25" s="29" t="s">
        <v>0</v>
      </c>
      <c r="D25" s="11" t="s">
        <v>27</v>
      </c>
      <c r="E25" s="5" t="s">
        <v>0</v>
      </c>
      <c r="F25" s="55">
        <v>80.87</v>
      </c>
      <c r="G25" s="54"/>
      <c r="H25" s="55">
        <v>85.82</v>
      </c>
      <c r="I25" s="54"/>
      <c r="J25" s="159">
        <v>86.24</v>
      </c>
      <c r="K25" s="54"/>
      <c r="L25" s="59">
        <f t="shared" si="0"/>
        <v>4.9499999999999886</v>
      </c>
      <c r="M25" s="59">
        <f t="shared" si="1"/>
        <v>0.42000000000000171</v>
      </c>
    </row>
    <row r="26" spans="2:13" s="128" customFormat="1" ht="16.5" customHeight="1">
      <c r="B26" s="127"/>
      <c r="C26" s="275" t="s">
        <v>216</v>
      </c>
      <c r="D26" s="275"/>
      <c r="E26" s="4"/>
      <c r="F26" s="52">
        <v>92.69</v>
      </c>
      <c r="G26" s="50"/>
      <c r="H26" s="52">
        <v>94.7</v>
      </c>
      <c r="I26" s="50"/>
      <c r="J26" s="158">
        <v>94.35</v>
      </c>
      <c r="K26" s="50"/>
      <c r="L26" s="129">
        <f t="shared" si="0"/>
        <v>2.0100000000000051</v>
      </c>
      <c r="M26" s="129">
        <f t="shared" si="1"/>
        <v>-0.35000000000000853</v>
      </c>
    </row>
    <row r="27" spans="2:13" ht="16.5" customHeight="1">
      <c r="B27" s="275" t="s">
        <v>53</v>
      </c>
      <c r="C27" s="275"/>
      <c r="D27" s="275"/>
      <c r="E27" s="4" t="s">
        <v>0</v>
      </c>
      <c r="F27" s="52">
        <v>50.66</v>
      </c>
      <c r="G27" s="50"/>
      <c r="H27" s="52">
        <v>49.36</v>
      </c>
      <c r="I27" s="50"/>
      <c r="J27" s="158">
        <v>57.75</v>
      </c>
      <c r="K27" s="50"/>
      <c r="L27" s="53">
        <f t="shared" si="0"/>
        <v>-1.2999999999999972</v>
      </c>
      <c r="M27" s="53">
        <f t="shared" si="1"/>
        <v>8.39</v>
      </c>
    </row>
    <row r="28" spans="2:13" ht="16.5" customHeight="1">
      <c r="B28" s="28"/>
      <c r="C28" s="29" t="s">
        <v>0</v>
      </c>
      <c r="D28" s="11" t="s">
        <v>42</v>
      </c>
      <c r="E28" s="5" t="s">
        <v>0</v>
      </c>
      <c r="F28" s="55">
        <v>42.13</v>
      </c>
      <c r="G28" s="55"/>
      <c r="H28" s="55">
        <v>42.13</v>
      </c>
      <c r="I28" s="54"/>
      <c r="J28" s="159">
        <v>46.51</v>
      </c>
      <c r="K28" s="54"/>
      <c r="L28" s="59">
        <f t="shared" si="0"/>
        <v>0</v>
      </c>
      <c r="M28" s="59">
        <f t="shared" si="1"/>
        <v>4.3799999999999955</v>
      </c>
    </row>
    <row r="29" spans="2:13" ht="16.5" customHeight="1">
      <c r="B29" s="28"/>
      <c r="C29" s="29" t="s">
        <v>0</v>
      </c>
      <c r="D29" s="11" t="s">
        <v>43</v>
      </c>
      <c r="E29" s="5" t="s">
        <v>0</v>
      </c>
      <c r="F29" s="55">
        <v>95.93</v>
      </c>
      <c r="G29" s="55"/>
      <c r="H29" s="55">
        <v>96.69</v>
      </c>
      <c r="I29" s="54"/>
      <c r="J29" s="159">
        <v>96.96</v>
      </c>
      <c r="K29" s="54"/>
      <c r="L29" s="59">
        <f t="shared" si="0"/>
        <v>0.75999999999999091</v>
      </c>
      <c r="M29" s="59">
        <f t="shared" si="1"/>
        <v>0.26999999999999602</v>
      </c>
    </row>
    <row r="30" spans="2:13" ht="16.5" customHeight="1">
      <c r="B30" s="275" t="s">
        <v>15</v>
      </c>
      <c r="C30" s="275"/>
      <c r="D30" s="275"/>
      <c r="E30" s="5" t="s">
        <v>0</v>
      </c>
      <c r="F30" s="52">
        <v>93.68</v>
      </c>
      <c r="G30" s="50"/>
      <c r="H30" s="52">
        <v>92.27</v>
      </c>
      <c r="I30" s="50"/>
      <c r="J30" s="158">
        <v>93.77</v>
      </c>
      <c r="K30" s="50"/>
      <c r="L30" s="53">
        <f t="shared" si="0"/>
        <v>-1.4100000000000108</v>
      </c>
      <c r="M30" s="53">
        <f t="shared" si="1"/>
        <v>1.5</v>
      </c>
    </row>
    <row r="31" spans="2:13" ht="16.5" customHeight="1">
      <c r="B31" s="275" t="s">
        <v>52</v>
      </c>
      <c r="C31" s="276"/>
      <c r="D31" s="276"/>
      <c r="E31" s="4" t="s">
        <v>0</v>
      </c>
      <c r="F31" s="52">
        <v>86.93</v>
      </c>
      <c r="G31" s="50"/>
      <c r="H31" s="52">
        <v>89.33</v>
      </c>
      <c r="I31" s="50"/>
      <c r="J31" s="158">
        <v>90.17</v>
      </c>
      <c r="K31" s="50"/>
      <c r="L31" s="53">
        <f t="shared" si="0"/>
        <v>2.3999999999999915</v>
      </c>
      <c r="M31" s="53">
        <f t="shared" si="1"/>
        <v>0.84000000000000341</v>
      </c>
    </row>
    <row r="32" spans="2:13" ht="16.5" customHeight="1">
      <c r="B32" s="28"/>
      <c r="C32" s="275" t="s">
        <v>51</v>
      </c>
      <c r="D32" s="275"/>
      <c r="E32" s="4" t="s">
        <v>0</v>
      </c>
      <c r="F32" s="52">
        <v>77.27</v>
      </c>
      <c r="G32" s="50"/>
      <c r="H32" s="52">
        <v>82.47</v>
      </c>
      <c r="I32" s="50"/>
      <c r="J32" s="158">
        <v>87.08</v>
      </c>
      <c r="K32" s="50"/>
      <c r="L32" s="53">
        <f t="shared" si="0"/>
        <v>5.2000000000000028</v>
      </c>
      <c r="M32" s="53">
        <f t="shared" si="1"/>
        <v>4.6099999999999994</v>
      </c>
    </row>
    <row r="33" spans="2:13" ht="16.5" customHeight="1">
      <c r="B33" s="28"/>
      <c r="C33" s="29" t="s">
        <v>0</v>
      </c>
      <c r="D33" s="11" t="s">
        <v>28</v>
      </c>
      <c r="E33" s="5" t="s">
        <v>0</v>
      </c>
      <c r="F33" s="55">
        <v>94.48</v>
      </c>
      <c r="G33" s="55"/>
      <c r="H33" s="55">
        <v>94.02</v>
      </c>
      <c r="I33" s="54"/>
      <c r="J33" s="159">
        <v>94.12</v>
      </c>
      <c r="K33" s="54"/>
      <c r="L33" s="59">
        <f t="shared" si="0"/>
        <v>-0.46000000000000796</v>
      </c>
      <c r="M33" s="59">
        <f t="shared" si="1"/>
        <v>0.10000000000000853</v>
      </c>
    </row>
    <row r="34" spans="2:13" ht="16.5" customHeight="1">
      <c r="B34" s="28"/>
      <c r="C34" s="29" t="s">
        <v>0</v>
      </c>
      <c r="D34" s="11" t="s">
        <v>17</v>
      </c>
      <c r="E34" s="5" t="s">
        <v>0</v>
      </c>
      <c r="F34" s="55">
        <v>61.37</v>
      </c>
      <c r="G34" s="55"/>
      <c r="H34" s="55">
        <v>67.489999999999995</v>
      </c>
      <c r="I34" s="54"/>
      <c r="J34" s="159">
        <v>75</v>
      </c>
      <c r="K34" s="54"/>
      <c r="L34" s="59">
        <f t="shared" si="0"/>
        <v>6.1199999999999974</v>
      </c>
      <c r="M34" s="59">
        <f t="shared" si="1"/>
        <v>7.5100000000000051</v>
      </c>
    </row>
    <row r="35" spans="2:13" ht="16.5" customHeight="1">
      <c r="B35" s="28"/>
      <c r="C35" s="275" t="s">
        <v>50</v>
      </c>
      <c r="D35" s="275"/>
      <c r="E35" s="4" t="s">
        <v>0</v>
      </c>
      <c r="F35" s="52">
        <v>90.58</v>
      </c>
      <c r="G35" s="50"/>
      <c r="H35" s="52">
        <v>91.87</v>
      </c>
      <c r="I35" s="50"/>
      <c r="J35" s="158">
        <v>91.62</v>
      </c>
      <c r="K35" s="50"/>
      <c r="L35" s="53">
        <f t="shared" si="0"/>
        <v>1.2900000000000063</v>
      </c>
      <c r="M35" s="53">
        <f t="shared" si="1"/>
        <v>-0.25</v>
      </c>
    </row>
    <row r="36" spans="2:13" ht="16.5" customHeight="1">
      <c r="B36" s="28"/>
      <c r="C36" s="29" t="s">
        <v>0</v>
      </c>
      <c r="D36" s="11" t="s">
        <v>29</v>
      </c>
      <c r="E36" s="5" t="s">
        <v>0</v>
      </c>
      <c r="F36" s="55">
        <v>86.07</v>
      </c>
      <c r="G36" s="55"/>
      <c r="H36" s="55">
        <v>86.39</v>
      </c>
      <c r="I36" s="54"/>
      <c r="J36" s="159">
        <v>83.39</v>
      </c>
      <c r="K36" s="54"/>
      <c r="L36" s="59">
        <f t="shared" si="0"/>
        <v>0.32000000000000739</v>
      </c>
      <c r="M36" s="59">
        <f t="shared" si="1"/>
        <v>-3</v>
      </c>
    </row>
    <row r="37" spans="2:13" ht="16.5" customHeight="1">
      <c r="B37" s="28"/>
      <c r="C37" s="29" t="s">
        <v>0</v>
      </c>
      <c r="D37" s="11" t="s">
        <v>30</v>
      </c>
      <c r="E37" s="5" t="s">
        <v>0</v>
      </c>
      <c r="F37" s="55">
        <v>92.6</v>
      </c>
      <c r="G37" s="55"/>
      <c r="H37" s="55">
        <v>93.65</v>
      </c>
      <c r="I37" s="54"/>
      <c r="J37" s="159">
        <v>93.31</v>
      </c>
      <c r="K37" s="54"/>
      <c r="L37" s="59">
        <f t="shared" si="0"/>
        <v>1.0500000000000114</v>
      </c>
      <c r="M37" s="59">
        <f t="shared" si="1"/>
        <v>-0.34000000000000341</v>
      </c>
    </row>
    <row r="38" spans="2:13" ht="16.5" customHeight="1">
      <c r="B38" s="28"/>
      <c r="C38" s="29" t="s">
        <v>0</v>
      </c>
      <c r="D38" s="11" t="s">
        <v>31</v>
      </c>
      <c r="E38" s="5" t="s">
        <v>0</v>
      </c>
      <c r="F38" s="55">
        <v>98.29</v>
      </c>
      <c r="G38" s="55"/>
      <c r="H38" s="55">
        <v>97.85</v>
      </c>
      <c r="I38" s="54"/>
      <c r="J38" s="159">
        <v>98.25</v>
      </c>
      <c r="K38" s="54"/>
      <c r="L38" s="59">
        <f t="shared" si="0"/>
        <v>-0.44000000000001194</v>
      </c>
      <c r="M38" s="59">
        <f t="shared" si="1"/>
        <v>0.40000000000000568</v>
      </c>
    </row>
    <row r="39" spans="2:13" ht="16.5" customHeight="1">
      <c r="B39" s="28"/>
      <c r="C39" s="29" t="s">
        <v>0</v>
      </c>
      <c r="D39" s="11" t="s">
        <v>32</v>
      </c>
      <c r="E39" s="5" t="s">
        <v>0</v>
      </c>
      <c r="F39" s="55">
        <v>88.65</v>
      </c>
      <c r="G39" s="55"/>
      <c r="H39" s="55">
        <v>91.91</v>
      </c>
      <c r="I39" s="54"/>
      <c r="J39" s="159">
        <v>92.25</v>
      </c>
      <c r="K39" s="54"/>
      <c r="L39" s="59">
        <f t="shared" si="0"/>
        <v>3.2599999999999909</v>
      </c>
      <c r="M39" s="59">
        <f t="shared" si="1"/>
        <v>0.34000000000000341</v>
      </c>
    </row>
    <row r="40" spans="2:13" ht="16.5" customHeight="1">
      <c r="B40" s="28"/>
      <c r="C40" s="29" t="s">
        <v>0</v>
      </c>
      <c r="D40" s="11" t="s">
        <v>33</v>
      </c>
      <c r="E40" s="5" t="s">
        <v>0</v>
      </c>
      <c r="F40" s="55">
        <v>92.39</v>
      </c>
      <c r="G40" s="55"/>
      <c r="H40" s="55">
        <v>89.84</v>
      </c>
      <c r="I40" s="54"/>
      <c r="J40" s="159">
        <v>91.51</v>
      </c>
      <c r="K40" s="54"/>
      <c r="L40" s="59">
        <f t="shared" si="0"/>
        <v>-2.5499999999999972</v>
      </c>
      <c r="M40" s="59">
        <f t="shared" si="1"/>
        <v>1.6700000000000017</v>
      </c>
    </row>
    <row r="41" spans="2:13" ht="16.5" customHeight="1">
      <c r="B41" s="28"/>
      <c r="C41" s="275" t="s">
        <v>49</v>
      </c>
      <c r="D41" s="275"/>
      <c r="E41" s="4" t="s">
        <v>0</v>
      </c>
      <c r="F41" s="52">
        <v>91.16</v>
      </c>
      <c r="G41" s="50"/>
      <c r="H41" s="52">
        <v>90.59</v>
      </c>
      <c r="I41" s="50"/>
      <c r="J41" s="158">
        <v>88.89</v>
      </c>
      <c r="K41" s="50"/>
      <c r="L41" s="53">
        <f t="shared" si="0"/>
        <v>-0.56999999999999318</v>
      </c>
      <c r="M41" s="53">
        <f t="shared" si="1"/>
        <v>-1.7000000000000028</v>
      </c>
    </row>
    <row r="42" spans="2:13" ht="16.5" customHeight="1">
      <c r="B42" s="28"/>
      <c r="C42" s="29" t="s">
        <v>0</v>
      </c>
      <c r="D42" s="11" t="s">
        <v>34</v>
      </c>
      <c r="E42" s="5" t="s">
        <v>0</v>
      </c>
      <c r="F42" s="55">
        <v>92.54</v>
      </c>
      <c r="G42" s="55"/>
      <c r="H42" s="55">
        <v>91.94</v>
      </c>
      <c r="I42" s="54"/>
      <c r="J42" s="159">
        <v>89.78</v>
      </c>
      <c r="K42" s="54"/>
      <c r="L42" s="59">
        <f t="shared" si="0"/>
        <v>-0.60000000000000853</v>
      </c>
      <c r="M42" s="59">
        <f t="shared" si="1"/>
        <v>-2.1599999999999966</v>
      </c>
    </row>
    <row r="43" spans="2:13" ht="16.5" customHeight="1">
      <c r="B43" s="28"/>
      <c r="C43" s="29" t="s">
        <v>0</v>
      </c>
      <c r="D43" s="11" t="s">
        <v>20</v>
      </c>
      <c r="E43" s="5" t="s">
        <v>0</v>
      </c>
      <c r="F43" s="55">
        <v>94.11</v>
      </c>
      <c r="G43" s="55"/>
      <c r="H43" s="55">
        <v>95.45</v>
      </c>
      <c r="I43" s="54"/>
      <c r="J43" s="159">
        <v>95.13</v>
      </c>
      <c r="K43" s="54"/>
      <c r="L43" s="59">
        <f t="shared" si="0"/>
        <v>1.3400000000000034</v>
      </c>
      <c r="M43" s="59">
        <f t="shared" si="1"/>
        <v>-0.32000000000000739</v>
      </c>
    </row>
    <row r="44" spans="2:13" ht="16.5" customHeight="1">
      <c r="B44" s="28"/>
      <c r="C44" s="29" t="s">
        <v>0</v>
      </c>
      <c r="D44" s="11" t="s">
        <v>21</v>
      </c>
      <c r="E44" s="5" t="s">
        <v>0</v>
      </c>
      <c r="F44" s="55">
        <v>88.56</v>
      </c>
      <c r="G44" s="55"/>
      <c r="H44" s="55">
        <v>86.84</v>
      </c>
      <c r="I44" s="54"/>
      <c r="J44" s="159">
        <v>85.22</v>
      </c>
      <c r="K44" s="54"/>
      <c r="L44" s="59">
        <f t="shared" si="0"/>
        <v>-1.7199999999999989</v>
      </c>
      <c r="M44" s="59">
        <f t="shared" si="1"/>
        <v>-1.6200000000000045</v>
      </c>
    </row>
    <row r="45" spans="2:13" ht="16.5" customHeight="1">
      <c r="B45" s="28"/>
      <c r="C45" s="275" t="s">
        <v>48</v>
      </c>
      <c r="D45" s="275"/>
      <c r="E45" s="4" t="s">
        <v>0</v>
      </c>
      <c r="F45" s="52">
        <v>92.09</v>
      </c>
      <c r="G45" s="50"/>
      <c r="H45" s="52">
        <v>92.89</v>
      </c>
      <c r="I45" s="50"/>
      <c r="J45" s="158">
        <v>92.66</v>
      </c>
      <c r="K45" s="50"/>
      <c r="L45" s="53">
        <f t="shared" si="0"/>
        <v>0.79999999999999716</v>
      </c>
      <c r="M45" s="53">
        <f t="shared" si="1"/>
        <v>-0.23000000000000398</v>
      </c>
    </row>
    <row r="46" spans="2:13" ht="16.5" customHeight="1">
      <c r="B46" s="28"/>
      <c r="C46" s="29" t="s">
        <v>0</v>
      </c>
      <c r="D46" s="11" t="s">
        <v>23</v>
      </c>
      <c r="E46" s="5" t="s">
        <v>0</v>
      </c>
      <c r="F46" s="55">
        <v>90.94</v>
      </c>
      <c r="G46" s="55"/>
      <c r="H46" s="55">
        <v>91.95</v>
      </c>
      <c r="I46" s="54"/>
      <c r="J46" s="159">
        <v>92.04</v>
      </c>
      <c r="K46" s="54"/>
      <c r="L46" s="59">
        <f t="shared" si="0"/>
        <v>1.0100000000000051</v>
      </c>
      <c r="M46" s="59">
        <f t="shared" si="1"/>
        <v>9.0000000000003411E-2</v>
      </c>
    </row>
    <row r="47" spans="2:13" ht="16.5" customHeight="1">
      <c r="B47" s="28"/>
      <c r="C47" s="29" t="s">
        <v>0</v>
      </c>
      <c r="D47" s="11" t="s">
        <v>35</v>
      </c>
      <c r="E47" s="5" t="s">
        <v>0</v>
      </c>
      <c r="F47" s="55">
        <v>94.28</v>
      </c>
      <c r="G47" s="55"/>
      <c r="H47" s="57">
        <v>94.43</v>
      </c>
      <c r="I47" s="54"/>
      <c r="J47" s="160">
        <v>94.04</v>
      </c>
      <c r="K47" s="54"/>
      <c r="L47" s="59">
        <f t="shared" si="0"/>
        <v>0.15000000000000568</v>
      </c>
      <c r="M47" s="59">
        <f t="shared" si="1"/>
        <v>-0.39000000000000057</v>
      </c>
    </row>
    <row r="48" spans="2:13" ht="16.5" customHeight="1">
      <c r="B48" s="28"/>
      <c r="C48" s="29"/>
      <c r="D48" s="11" t="s">
        <v>36</v>
      </c>
      <c r="E48" s="5"/>
      <c r="F48" s="57">
        <v>93.81</v>
      </c>
      <c r="G48" s="57"/>
      <c r="H48" s="57">
        <v>94.66</v>
      </c>
      <c r="I48" s="56"/>
      <c r="J48" s="160">
        <v>93.73</v>
      </c>
      <c r="K48" s="56"/>
      <c r="L48" s="59">
        <f t="shared" si="0"/>
        <v>0.84999999999999432</v>
      </c>
      <c r="M48" s="59">
        <f t="shared" si="1"/>
        <v>-0.92999999999999261</v>
      </c>
    </row>
    <row r="49" spans="2:13" ht="16.5" customHeight="1">
      <c r="B49" s="276" t="s">
        <v>59</v>
      </c>
      <c r="C49" s="276"/>
      <c r="D49" s="276"/>
      <c r="E49" s="4" t="s">
        <v>0</v>
      </c>
      <c r="F49" s="66">
        <v>0</v>
      </c>
      <c r="G49" s="50"/>
      <c r="H49" s="66">
        <v>99.96</v>
      </c>
      <c r="I49" s="50"/>
      <c r="J49" s="161">
        <v>99.93</v>
      </c>
      <c r="K49" s="50"/>
      <c r="L49" s="58">
        <f t="shared" si="0"/>
        <v>99.96</v>
      </c>
      <c r="M49" s="58">
        <f t="shared" si="1"/>
        <v>-2.9999999999986926E-2</v>
      </c>
    </row>
    <row r="50" spans="2:13" ht="16.5" customHeight="1" thickBot="1">
      <c r="B50" s="277" t="s">
        <v>66</v>
      </c>
      <c r="C50" s="277"/>
      <c r="D50" s="277"/>
      <c r="E50" s="6" t="s">
        <v>0</v>
      </c>
      <c r="F50" s="61">
        <v>74.67</v>
      </c>
      <c r="G50" s="60"/>
      <c r="H50" s="61">
        <v>78.27</v>
      </c>
      <c r="I50" s="60"/>
      <c r="J50" s="162">
        <v>80.58</v>
      </c>
      <c r="K50" s="60"/>
      <c r="L50" s="60">
        <f t="shared" si="0"/>
        <v>3.5999999999999943</v>
      </c>
      <c r="M50" s="269">
        <f t="shared" si="1"/>
        <v>2.3100000000000023</v>
      </c>
    </row>
    <row r="51" spans="2:13" ht="9" customHeight="1" thickTop="1"/>
    <row r="52" spans="2:13">
      <c r="D52" s="12" t="s">
        <v>151</v>
      </c>
    </row>
    <row r="53" spans="2:13">
      <c r="D53" s="12"/>
      <c r="E53" s="12"/>
    </row>
  </sheetData>
  <mergeCells count="19">
    <mergeCell ref="C15:D15"/>
    <mergeCell ref="B3:M3"/>
    <mergeCell ref="B4:M4"/>
    <mergeCell ref="B6:D6"/>
    <mergeCell ref="B7:D7"/>
    <mergeCell ref="B8:D8"/>
    <mergeCell ref="B9:D9"/>
    <mergeCell ref="C10:D10"/>
    <mergeCell ref="C41:D41"/>
    <mergeCell ref="C45:D45"/>
    <mergeCell ref="B49:D49"/>
    <mergeCell ref="B50:D50"/>
    <mergeCell ref="C21:D21"/>
    <mergeCell ref="B27:D27"/>
    <mergeCell ref="B30:D30"/>
    <mergeCell ref="B31:D31"/>
    <mergeCell ref="C32:D32"/>
    <mergeCell ref="C35:D35"/>
    <mergeCell ref="C26:D26"/>
  </mergeCells>
  <phoneticPr fontId="1" type="noConversion"/>
  <hyperlinks>
    <hyperlink ref="A1" location="목차!A1" display="(목차로 이동)" xr:uid="{00000000-0004-0000-0400-000000000000}"/>
  </hyperlinks>
  <pageMargins left="0.7" right="0.7" top="0.75" bottom="0.75" header="0.3" footer="0.3"/>
  <pageSetup paperSize="9" scale="86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5" tint="0.79998168889431442"/>
    <pageSetUpPr fitToPage="1"/>
  </sheetPr>
  <dimension ref="A1:R53"/>
  <sheetViews>
    <sheetView view="pageBreakPreview" topLeftCell="A7" zoomScaleNormal="100" zoomScaleSheetLayoutView="100" workbookViewId="0">
      <selection activeCell="M9" sqref="M9"/>
    </sheetView>
  </sheetViews>
  <sheetFormatPr defaultRowHeight="16.5"/>
  <cols>
    <col min="1" max="1" width="2.625" customWidth="1"/>
    <col min="2" max="2" width="2.125" customWidth="1"/>
    <col min="3" max="3" width="2.125" style="7" customWidth="1"/>
    <col min="4" max="4" width="26.625" style="35" customWidth="1"/>
    <col min="5" max="5" width="1.625" customWidth="1"/>
    <col min="6" max="6" width="8.625" style="23" customWidth="1"/>
    <col min="7" max="7" width="1.625" customWidth="1"/>
    <col min="8" max="8" width="8.625" customWidth="1"/>
    <col min="9" max="9" width="1.625" customWidth="1"/>
    <col min="10" max="10" width="8.625" customWidth="1"/>
    <col min="11" max="11" width="1.625" customWidth="1"/>
    <col min="12" max="13" width="8.625" style="105" customWidth="1"/>
  </cols>
  <sheetData>
    <row r="1" spans="1:18">
      <c r="A1" s="32" t="s">
        <v>172</v>
      </c>
    </row>
    <row r="2" spans="1:18" ht="6" customHeight="1">
      <c r="A2" s="32"/>
    </row>
    <row r="3" spans="1:18" ht="18">
      <c r="B3" s="278" t="s">
        <v>173</v>
      </c>
      <c r="C3" s="278"/>
      <c r="D3" s="278"/>
      <c r="E3" s="278"/>
      <c r="F3" s="278"/>
      <c r="G3" s="278"/>
      <c r="H3" s="278"/>
      <c r="I3" s="278"/>
      <c r="J3" s="278"/>
      <c r="K3" s="278"/>
      <c r="L3" s="278"/>
      <c r="M3" s="278"/>
      <c r="N3" s="33"/>
      <c r="O3" s="33"/>
      <c r="P3" s="33"/>
      <c r="Q3" s="33"/>
    </row>
    <row r="4" spans="1:18" ht="18">
      <c r="B4" s="286" t="s">
        <v>174</v>
      </c>
      <c r="C4" s="286"/>
      <c r="D4" s="286"/>
      <c r="E4" s="286"/>
      <c r="F4" s="286"/>
      <c r="G4" s="286"/>
      <c r="H4" s="286"/>
      <c r="I4" s="286"/>
      <c r="J4" s="286"/>
      <c r="K4" s="286"/>
      <c r="L4" s="286"/>
      <c r="M4" s="286"/>
      <c r="N4" s="33"/>
      <c r="O4" s="33"/>
      <c r="P4" s="33"/>
      <c r="Q4" s="33"/>
    </row>
    <row r="5" spans="1:18" ht="8.25" customHeight="1" thickBot="1">
      <c r="B5" s="46"/>
      <c r="D5" s="7"/>
      <c r="L5" s="39"/>
      <c r="M5" s="39"/>
    </row>
    <row r="6" spans="1:18" ht="18" thickTop="1" thickBot="1">
      <c r="B6" s="283" t="s">
        <v>0</v>
      </c>
      <c r="C6" s="287"/>
      <c r="D6" s="287"/>
      <c r="E6" s="2" t="s">
        <v>0</v>
      </c>
      <c r="F6" s="163" t="s">
        <v>290</v>
      </c>
      <c r="G6" s="2" t="s">
        <v>0</v>
      </c>
      <c r="H6" s="163" t="s">
        <v>291</v>
      </c>
      <c r="I6" s="3" t="s">
        <v>0</v>
      </c>
      <c r="J6" s="164" t="s">
        <v>292</v>
      </c>
      <c r="K6" s="3"/>
      <c r="L6" s="153" t="s">
        <v>251</v>
      </c>
      <c r="M6" s="153" t="s">
        <v>252</v>
      </c>
    </row>
    <row r="7" spans="1:18" ht="16.5" customHeight="1" thickTop="1">
      <c r="B7" s="281" t="s">
        <v>1</v>
      </c>
      <c r="C7" s="281"/>
      <c r="D7" s="281"/>
      <c r="E7" s="4" t="s">
        <v>0</v>
      </c>
      <c r="F7" s="52">
        <v>3.22</v>
      </c>
      <c r="G7" s="52"/>
      <c r="H7" s="51">
        <v>3.06</v>
      </c>
      <c r="I7" s="50"/>
      <c r="J7" s="157">
        <v>3.28</v>
      </c>
      <c r="K7" s="50"/>
      <c r="L7" s="49">
        <f t="shared" ref="L7:L50" si="0">H7-F7</f>
        <v>-0.16000000000000014</v>
      </c>
      <c r="M7" s="49">
        <f t="shared" ref="M7:M50" si="1">J7-H7</f>
        <v>0.21999999999999975</v>
      </c>
      <c r="R7" s="38"/>
    </row>
    <row r="8" spans="1:18" ht="16.5" customHeight="1">
      <c r="B8" s="275" t="s">
        <v>2</v>
      </c>
      <c r="C8" s="275"/>
      <c r="D8" s="275"/>
      <c r="E8" s="4" t="s">
        <v>0</v>
      </c>
      <c r="F8" s="52">
        <v>0.69</v>
      </c>
      <c r="G8" s="52"/>
      <c r="H8" s="52">
        <v>0.68</v>
      </c>
      <c r="I8" s="50"/>
      <c r="J8" s="158">
        <v>0.7</v>
      </c>
      <c r="K8" s="50"/>
      <c r="L8" s="53">
        <f t="shared" si="0"/>
        <v>-9.9999999999998979E-3</v>
      </c>
      <c r="M8" s="53">
        <f t="shared" si="1"/>
        <v>1.9999999999999907E-2</v>
      </c>
    </row>
    <row r="9" spans="1:18" ht="16.5" customHeight="1">
      <c r="B9" s="275" t="s">
        <v>175</v>
      </c>
      <c r="C9" s="275"/>
      <c r="D9" s="275"/>
      <c r="E9" s="4" t="s">
        <v>0</v>
      </c>
      <c r="F9" s="52">
        <v>24.03</v>
      </c>
      <c r="G9" s="52"/>
      <c r="H9" s="52">
        <v>20.62</v>
      </c>
      <c r="I9" s="50"/>
      <c r="J9" s="158">
        <v>19.260000000000002</v>
      </c>
      <c r="K9" s="50"/>
      <c r="L9" s="53">
        <f t="shared" si="0"/>
        <v>-3.41</v>
      </c>
      <c r="M9" s="53">
        <f t="shared" si="1"/>
        <v>-1.3599999999999994</v>
      </c>
    </row>
    <row r="10" spans="1:18" ht="16.5" customHeight="1">
      <c r="B10" s="28"/>
      <c r="C10" s="275" t="s">
        <v>176</v>
      </c>
      <c r="D10" s="275"/>
      <c r="E10" s="4" t="s">
        <v>0</v>
      </c>
      <c r="F10" s="52">
        <v>15.36</v>
      </c>
      <c r="G10" s="52"/>
      <c r="H10" s="52">
        <v>17.670000000000002</v>
      </c>
      <c r="I10" s="50"/>
      <c r="J10" s="158">
        <v>15.18</v>
      </c>
      <c r="K10" s="50"/>
      <c r="L10" s="53">
        <f t="shared" si="0"/>
        <v>2.3100000000000023</v>
      </c>
      <c r="M10" s="53">
        <f t="shared" si="1"/>
        <v>-2.490000000000002</v>
      </c>
    </row>
    <row r="11" spans="1:18" ht="16.5" customHeight="1">
      <c r="B11" s="28"/>
      <c r="C11" s="29" t="s">
        <v>0</v>
      </c>
      <c r="D11" s="11" t="s">
        <v>5</v>
      </c>
      <c r="E11" s="5" t="s">
        <v>0</v>
      </c>
      <c r="F11" s="55">
        <v>13.1</v>
      </c>
      <c r="G11" s="55"/>
      <c r="H11" s="55">
        <v>12.87</v>
      </c>
      <c r="I11" s="54"/>
      <c r="J11" s="159">
        <v>12.49</v>
      </c>
      <c r="K11" s="54"/>
      <c r="L11" s="56">
        <f t="shared" si="0"/>
        <v>-0.23000000000000043</v>
      </c>
      <c r="M11" s="56">
        <f t="shared" si="1"/>
        <v>-0.37999999999999901</v>
      </c>
    </row>
    <row r="12" spans="1:18" ht="16.5" customHeight="1">
      <c r="B12" s="28"/>
      <c r="C12" s="29" t="s">
        <v>0</v>
      </c>
      <c r="D12" s="11" t="s">
        <v>6</v>
      </c>
      <c r="E12" s="5" t="s">
        <v>0</v>
      </c>
      <c r="F12" s="55">
        <v>19.37</v>
      </c>
      <c r="G12" s="55"/>
      <c r="H12" s="55">
        <v>28.55</v>
      </c>
      <c r="I12" s="54"/>
      <c r="J12" s="159">
        <v>26.35</v>
      </c>
      <c r="K12" s="54"/>
      <c r="L12" s="56">
        <f t="shared" si="0"/>
        <v>9.18</v>
      </c>
      <c r="M12" s="56">
        <f t="shared" si="1"/>
        <v>-2.1999999999999993</v>
      </c>
    </row>
    <row r="13" spans="1:18" ht="16.5" customHeight="1">
      <c r="B13" s="28"/>
      <c r="C13" s="29" t="s">
        <v>0</v>
      </c>
      <c r="D13" s="11" t="s">
        <v>7</v>
      </c>
      <c r="E13" s="5" t="s">
        <v>0</v>
      </c>
      <c r="F13" s="55">
        <v>16.61</v>
      </c>
      <c r="G13" s="55"/>
      <c r="H13" s="55">
        <v>14.29</v>
      </c>
      <c r="I13" s="54"/>
      <c r="J13" s="159">
        <v>11.08</v>
      </c>
      <c r="K13" s="54"/>
      <c r="L13" s="56">
        <f t="shared" si="0"/>
        <v>-2.3200000000000003</v>
      </c>
      <c r="M13" s="56">
        <f t="shared" si="1"/>
        <v>-3.2099999999999991</v>
      </c>
    </row>
    <row r="14" spans="1:18" ht="16.5" customHeight="1">
      <c r="B14" s="28"/>
      <c r="C14" s="29" t="s">
        <v>0</v>
      </c>
      <c r="D14" s="11" t="s">
        <v>215</v>
      </c>
      <c r="E14" s="5" t="s">
        <v>0</v>
      </c>
      <c r="F14" s="55">
        <v>9.4</v>
      </c>
      <c r="G14" s="55"/>
      <c r="H14" s="55">
        <v>11.17</v>
      </c>
      <c r="I14" s="54"/>
      <c r="J14" s="159">
        <v>11.23</v>
      </c>
      <c r="K14" s="54"/>
      <c r="L14" s="56">
        <f t="shared" si="0"/>
        <v>1.7699999999999996</v>
      </c>
      <c r="M14" s="56">
        <f t="shared" si="1"/>
        <v>6.0000000000000497E-2</v>
      </c>
    </row>
    <row r="15" spans="1:18" ht="16.5" customHeight="1">
      <c r="B15" s="28"/>
      <c r="C15" s="275" t="s">
        <v>158</v>
      </c>
      <c r="D15" s="275"/>
      <c r="E15" s="4" t="s">
        <v>0</v>
      </c>
      <c r="F15" s="52">
        <v>33.99</v>
      </c>
      <c r="G15" s="52"/>
      <c r="H15" s="52">
        <v>27.14</v>
      </c>
      <c r="I15" s="50"/>
      <c r="J15" s="158">
        <v>24.77</v>
      </c>
      <c r="K15" s="50"/>
      <c r="L15" s="53">
        <f t="shared" si="0"/>
        <v>-6.8500000000000014</v>
      </c>
      <c r="M15" s="53">
        <f t="shared" si="1"/>
        <v>-2.370000000000001</v>
      </c>
    </row>
    <row r="16" spans="1:18" ht="16.5" customHeight="1">
      <c r="B16" s="28"/>
      <c r="C16" s="29" t="s">
        <v>0</v>
      </c>
      <c r="D16" s="11" t="s">
        <v>9</v>
      </c>
      <c r="E16" s="5" t="s">
        <v>0</v>
      </c>
      <c r="F16" s="55">
        <v>65.88</v>
      </c>
      <c r="G16" s="55"/>
      <c r="H16" s="55">
        <v>55.71</v>
      </c>
      <c r="I16" s="54"/>
      <c r="J16" s="159">
        <v>53.06</v>
      </c>
      <c r="K16" s="54"/>
      <c r="L16" s="56">
        <f t="shared" si="0"/>
        <v>-10.169999999999995</v>
      </c>
      <c r="M16" s="56">
        <f t="shared" si="1"/>
        <v>-2.6499999999999986</v>
      </c>
    </row>
    <row r="17" spans="2:13" ht="16.5" customHeight="1">
      <c r="B17" s="28"/>
      <c r="C17" s="29" t="s">
        <v>0</v>
      </c>
      <c r="D17" s="11" t="s">
        <v>10</v>
      </c>
      <c r="E17" s="5" t="s">
        <v>0</v>
      </c>
      <c r="F17" s="55">
        <v>25.86</v>
      </c>
      <c r="G17" s="55"/>
      <c r="H17" s="55">
        <v>22.75</v>
      </c>
      <c r="I17" s="54"/>
      <c r="J17" s="159">
        <v>20.73</v>
      </c>
      <c r="K17" s="54"/>
      <c r="L17" s="56">
        <f t="shared" si="0"/>
        <v>-3.1099999999999994</v>
      </c>
      <c r="M17" s="56">
        <f t="shared" si="1"/>
        <v>-2.0199999999999996</v>
      </c>
    </row>
    <row r="18" spans="2:13" ht="16.5" customHeight="1">
      <c r="B18" s="28"/>
      <c r="C18" s="29" t="s">
        <v>0</v>
      </c>
      <c r="D18" s="11" t="s">
        <v>11</v>
      </c>
      <c r="E18" s="5" t="s">
        <v>0</v>
      </c>
      <c r="F18" s="55">
        <v>16.149999999999999</v>
      </c>
      <c r="G18" s="55"/>
      <c r="H18" s="55">
        <v>7.98</v>
      </c>
      <c r="I18" s="54"/>
      <c r="J18" s="159">
        <v>8.67</v>
      </c>
      <c r="K18" s="54"/>
      <c r="L18" s="56">
        <f t="shared" si="0"/>
        <v>-8.1699999999999982</v>
      </c>
      <c r="M18" s="56">
        <f t="shared" si="1"/>
        <v>0.6899999999999995</v>
      </c>
    </row>
    <row r="19" spans="2:13" ht="16.5" customHeight="1">
      <c r="B19" s="28"/>
      <c r="C19" s="29" t="s">
        <v>0</v>
      </c>
      <c r="D19" s="30" t="s">
        <v>12</v>
      </c>
      <c r="E19" s="5" t="s">
        <v>0</v>
      </c>
      <c r="F19" s="55">
        <v>38.520000000000003</v>
      </c>
      <c r="G19" s="55"/>
      <c r="H19" s="55">
        <v>33.24</v>
      </c>
      <c r="I19" s="54"/>
      <c r="J19" s="159">
        <v>32.35</v>
      </c>
      <c r="K19" s="54"/>
      <c r="L19" s="56">
        <f t="shared" si="0"/>
        <v>-5.2800000000000011</v>
      </c>
      <c r="M19" s="56">
        <f t="shared" si="1"/>
        <v>-0.89000000000000057</v>
      </c>
    </row>
    <row r="20" spans="2:13" ht="16.5" customHeight="1">
      <c r="B20" s="28"/>
      <c r="C20" s="29" t="s">
        <v>0</v>
      </c>
      <c r="D20" s="11" t="s">
        <v>24</v>
      </c>
      <c r="E20" s="5" t="s">
        <v>0</v>
      </c>
      <c r="F20" s="55">
        <v>9.2899999999999991</v>
      </c>
      <c r="G20" s="55"/>
      <c r="H20" s="55">
        <v>6.49</v>
      </c>
      <c r="I20" s="54"/>
      <c r="J20" s="159">
        <v>5.9</v>
      </c>
      <c r="K20" s="54"/>
      <c r="L20" s="56">
        <f t="shared" si="0"/>
        <v>-2.7999999999999989</v>
      </c>
      <c r="M20" s="56">
        <f t="shared" si="1"/>
        <v>-0.58999999999999986</v>
      </c>
    </row>
    <row r="21" spans="2:13" ht="16.5" customHeight="1">
      <c r="B21" s="28"/>
      <c r="C21" s="275" t="s">
        <v>159</v>
      </c>
      <c r="D21" s="275"/>
      <c r="E21" s="4" t="s">
        <v>0</v>
      </c>
      <c r="F21" s="52">
        <v>19.21</v>
      </c>
      <c r="G21" s="52"/>
      <c r="H21" s="52">
        <v>17.77</v>
      </c>
      <c r="I21" s="50"/>
      <c r="J21" s="158">
        <v>17.7</v>
      </c>
      <c r="K21" s="50"/>
      <c r="L21" s="53">
        <f t="shared" si="0"/>
        <v>-1.4400000000000013</v>
      </c>
      <c r="M21" s="53">
        <f t="shared" si="1"/>
        <v>-7.0000000000000284E-2</v>
      </c>
    </row>
    <row r="22" spans="2:13" ht="16.5" customHeight="1">
      <c r="B22" s="28"/>
      <c r="C22" s="29" t="s">
        <v>0</v>
      </c>
      <c r="D22" s="11" t="s">
        <v>64</v>
      </c>
      <c r="E22" s="5" t="s">
        <v>0</v>
      </c>
      <c r="F22" s="55">
        <v>27.56</v>
      </c>
      <c r="G22" s="55"/>
      <c r="H22" s="55">
        <v>27.09</v>
      </c>
      <c r="I22" s="54"/>
      <c r="J22" s="159">
        <v>25.17</v>
      </c>
      <c r="K22" s="54"/>
      <c r="L22" s="56">
        <f t="shared" si="0"/>
        <v>-0.46999999999999886</v>
      </c>
      <c r="M22" s="56">
        <f t="shared" si="1"/>
        <v>-1.9199999999999982</v>
      </c>
    </row>
    <row r="23" spans="2:13" ht="16.5" customHeight="1">
      <c r="B23" s="28"/>
      <c r="C23" s="29" t="s">
        <v>0</v>
      </c>
      <c r="D23" s="11" t="s">
        <v>25</v>
      </c>
      <c r="E23" s="5" t="s">
        <v>0</v>
      </c>
      <c r="F23" s="55">
        <v>14.12</v>
      </c>
      <c r="G23" s="55"/>
      <c r="H23" s="55">
        <v>14.71</v>
      </c>
      <c r="I23" s="54"/>
      <c r="J23" s="159">
        <v>17.579999999999998</v>
      </c>
      <c r="K23" s="54"/>
      <c r="L23" s="56">
        <f t="shared" si="0"/>
        <v>0.59000000000000163</v>
      </c>
      <c r="M23" s="56">
        <f t="shared" si="1"/>
        <v>2.8699999999999974</v>
      </c>
    </row>
    <row r="24" spans="2:13" ht="16.5" customHeight="1">
      <c r="B24" s="28"/>
      <c r="C24" s="29" t="s">
        <v>0</v>
      </c>
      <c r="D24" s="11" t="s">
        <v>26</v>
      </c>
      <c r="E24" s="5" t="s">
        <v>0</v>
      </c>
      <c r="F24" s="55">
        <v>10.93</v>
      </c>
      <c r="G24" s="55"/>
      <c r="H24" s="55">
        <v>12.12</v>
      </c>
      <c r="I24" s="54"/>
      <c r="J24" s="159">
        <v>12.86</v>
      </c>
      <c r="K24" s="54"/>
      <c r="L24" s="56">
        <f t="shared" si="0"/>
        <v>1.1899999999999995</v>
      </c>
      <c r="M24" s="56">
        <f t="shared" si="1"/>
        <v>0.74000000000000021</v>
      </c>
    </row>
    <row r="25" spans="2:13" ht="16.5" customHeight="1">
      <c r="B25" s="28"/>
      <c r="C25" s="29" t="s">
        <v>0</v>
      </c>
      <c r="D25" s="11" t="s">
        <v>27</v>
      </c>
      <c r="E25" s="5" t="s">
        <v>0</v>
      </c>
      <c r="F25" s="55">
        <v>15.05</v>
      </c>
      <c r="G25" s="55"/>
      <c r="H25" s="55">
        <v>11.45</v>
      </c>
      <c r="I25" s="54"/>
      <c r="J25" s="159">
        <v>10.89</v>
      </c>
      <c r="K25" s="54"/>
      <c r="L25" s="56">
        <f t="shared" si="0"/>
        <v>-3.6000000000000014</v>
      </c>
      <c r="M25" s="56">
        <f t="shared" si="1"/>
        <v>-0.55999999999999872</v>
      </c>
    </row>
    <row r="26" spans="2:13" s="128" customFormat="1" ht="16.5" customHeight="1">
      <c r="B26" s="127"/>
      <c r="C26" s="275" t="s">
        <v>216</v>
      </c>
      <c r="D26" s="275"/>
      <c r="E26" s="4"/>
      <c r="F26" s="52">
        <v>3.52</v>
      </c>
      <c r="G26" s="52"/>
      <c r="H26" s="52">
        <v>2.69</v>
      </c>
      <c r="I26" s="50"/>
      <c r="J26" s="158">
        <v>2.7</v>
      </c>
      <c r="K26" s="50"/>
      <c r="L26" s="53">
        <f t="shared" si="0"/>
        <v>-0.83000000000000007</v>
      </c>
      <c r="M26" s="53">
        <f t="shared" si="1"/>
        <v>1.0000000000000231E-2</v>
      </c>
    </row>
    <row r="27" spans="2:13" ht="16.5" customHeight="1">
      <c r="B27" s="275" t="s">
        <v>161</v>
      </c>
      <c r="C27" s="275"/>
      <c r="D27" s="275"/>
      <c r="E27" s="4" t="s">
        <v>0</v>
      </c>
      <c r="F27" s="52">
        <v>34.31</v>
      </c>
      <c r="G27" s="52"/>
      <c r="H27" s="52">
        <v>30.57</v>
      </c>
      <c r="I27" s="50"/>
      <c r="J27" s="158">
        <v>25.39</v>
      </c>
      <c r="K27" s="50"/>
      <c r="L27" s="53">
        <f t="shared" si="0"/>
        <v>-3.740000000000002</v>
      </c>
      <c r="M27" s="53">
        <f t="shared" si="1"/>
        <v>-5.18</v>
      </c>
    </row>
    <row r="28" spans="2:13" ht="16.5" customHeight="1">
      <c r="B28" s="28"/>
      <c r="C28" s="29" t="s">
        <v>0</v>
      </c>
      <c r="D28" s="11" t="s">
        <v>162</v>
      </c>
      <c r="E28" s="5" t="s">
        <v>0</v>
      </c>
      <c r="F28" s="55">
        <v>41.9</v>
      </c>
      <c r="G28" s="55"/>
      <c r="H28" s="55">
        <v>36.58</v>
      </c>
      <c r="I28" s="54"/>
      <c r="J28" s="159">
        <v>34.130000000000003</v>
      </c>
      <c r="K28" s="54"/>
      <c r="L28" s="56">
        <f t="shared" si="0"/>
        <v>-5.32</v>
      </c>
      <c r="M28" s="56">
        <f t="shared" si="1"/>
        <v>-2.4499999999999957</v>
      </c>
    </row>
    <row r="29" spans="2:13" ht="16.5" customHeight="1">
      <c r="B29" s="28"/>
      <c r="C29" s="29" t="s">
        <v>0</v>
      </c>
      <c r="D29" s="11" t="s">
        <v>163</v>
      </c>
      <c r="E29" s="5" t="s">
        <v>0</v>
      </c>
      <c r="F29" s="55">
        <v>2.34</v>
      </c>
      <c r="G29" s="55"/>
      <c r="H29" s="55">
        <v>1.54</v>
      </c>
      <c r="I29" s="54"/>
      <c r="J29" s="159">
        <v>1.52</v>
      </c>
      <c r="K29" s="54"/>
      <c r="L29" s="56">
        <f t="shared" si="0"/>
        <v>-0.79999999999999982</v>
      </c>
      <c r="M29" s="56">
        <f t="shared" si="1"/>
        <v>-2.0000000000000018E-2</v>
      </c>
    </row>
    <row r="30" spans="2:13" ht="16.5" customHeight="1">
      <c r="B30" s="275" t="s">
        <v>15</v>
      </c>
      <c r="C30" s="275"/>
      <c r="D30" s="275"/>
      <c r="E30" s="5" t="s">
        <v>0</v>
      </c>
      <c r="F30" s="52">
        <v>3.9</v>
      </c>
      <c r="G30" s="52"/>
      <c r="H30" s="52">
        <v>4.5</v>
      </c>
      <c r="I30" s="50"/>
      <c r="J30" s="158">
        <v>3.45</v>
      </c>
      <c r="K30" s="50"/>
      <c r="L30" s="53">
        <f t="shared" si="0"/>
        <v>0.60000000000000009</v>
      </c>
      <c r="M30" s="53">
        <f t="shared" si="1"/>
        <v>-1.0499999999999998</v>
      </c>
    </row>
    <row r="31" spans="2:13" ht="16.5" customHeight="1">
      <c r="B31" s="275" t="s">
        <v>164</v>
      </c>
      <c r="C31" s="276"/>
      <c r="D31" s="276"/>
      <c r="E31" s="4" t="s">
        <v>0</v>
      </c>
      <c r="F31" s="52">
        <v>5.59</v>
      </c>
      <c r="G31" s="52"/>
      <c r="H31" s="52">
        <v>4.59</v>
      </c>
      <c r="I31" s="50"/>
      <c r="J31" s="158">
        <v>4.1500000000000004</v>
      </c>
      <c r="K31" s="50"/>
      <c r="L31" s="53">
        <f t="shared" si="0"/>
        <v>-1</v>
      </c>
      <c r="M31" s="53">
        <f t="shared" si="1"/>
        <v>-0.4399999999999995</v>
      </c>
    </row>
    <row r="32" spans="2:13" ht="16.5" customHeight="1">
      <c r="B32" s="28"/>
      <c r="C32" s="275" t="s">
        <v>165</v>
      </c>
      <c r="D32" s="275"/>
      <c r="E32" s="4" t="s">
        <v>0</v>
      </c>
      <c r="F32" s="52">
        <v>12.06</v>
      </c>
      <c r="G32" s="52"/>
      <c r="H32" s="52">
        <v>8.9499999999999993</v>
      </c>
      <c r="I32" s="50"/>
      <c r="J32" s="158">
        <v>6.4</v>
      </c>
      <c r="K32" s="50"/>
      <c r="L32" s="53">
        <f t="shared" si="0"/>
        <v>-3.1100000000000012</v>
      </c>
      <c r="M32" s="53">
        <f t="shared" si="1"/>
        <v>-2.5499999999999989</v>
      </c>
    </row>
    <row r="33" spans="2:13" ht="16.5" customHeight="1">
      <c r="B33" s="28"/>
      <c r="C33" s="29" t="s">
        <v>0</v>
      </c>
      <c r="D33" s="11" t="s">
        <v>28</v>
      </c>
      <c r="E33" s="5" t="s">
        <v>0</v>
      </c>
      <c r="F33" s="55">
        <v>2.38</v>
      </c>
      <c r="G33" s="55"/>
      <c r="H33" s="55">
        <v>2.71</v>
      </c>
      <c r="I33" s="54"/>
      <c r="J33" s="159">
        <v>2.67</v>
      </c>
      <c r="K33" s="54"/>
      <c r="L33" s="56">
        <f t="shared" si="0"/>
        <v>0.33000000000000007</v>
      </c>
      <c r="M33" s="56">
        <f t="shared" si="1"/>
        <v>-4.0000000000000036E-2</v>
      </c>
    </row>
    <row r="34" spans="2:13" ht="16.5" customHeight="1">
      <c r="B34" s="28"/>
      <c r="C34" s="29" t="s">
        <v>0</v>
      </c>
      <c r="D34" s="11" t="s">
        <v>17</v>
      </c>
      <c r="E34" s="5" t="s">
        <v>0</v>
      </c>
      <c r="F34" s="55">
        <v>25.99</v>
      </c>
      <c r="G34" s="55"/>
      <c r="H34" s="55">
        <v>19.89</v>
      </c>
      <c r="I34" s="54"/>
      <c r="J34" s="159">
        <v>14.79</v>
      </c>
      <c r="K34" s="54"/>
      <c r="L34" s="56">
        <f t="shared" si="0"/>
        <v>-6.0999999999999979</v>
      </c>
      <c r="M34" s="56">
        <f t="shared" si="1"/>
        <v>-5.1000000000000014</v>
      </c>
    </row>
    <row r="35" spans="2:13" ht="16.5" customHeight="1">
      <c r="B35" s="28"/>
      <c r="C35" s="275" t="s">
        <v>166</v>
      </c>
      <c r="D35" s="275"/>
      <c r="E35" s="4" t="s">
        <v>0</v>
      </c>
      <c r="F35" s="52">
        <v>3.6</v>
      </c>
      <c r="G35" s="52"/>
      <c r="H35" s="52">
        <v>3.12</v>
      </c>
      <c r="I35" s="50"/>
      <c r="J35" s="158">
        <v>3.16</v>
      </c>
      <c r="K35" s="50"/>
      <c r="L35" s="53">
        <f t="shared" si="0"/>
        <v>-0.48</v>
      </c>
      <c r="M35" s="53">
        <f t="shared" si="1"/>
        <v>4.0000000000000036E-2</v>
      </c>
    </row>
    <row r="36" spans="2:13" ht="16.5" customHeight="1">
      <c r="B36" s="28"/>
      <c r="C36" s="29" t="s">
        <v>0</v>
      </c>
      <c r="D36" s="11" t="s">
        <v>29</v>
      </c>
      <c r="E36" s="5" t="s">
        <v>0</v>
      </c>
      <c r="F36" s="55">
        <v>6.62</v>
      </c>
      <c r="G36" s="55"/>
      <c r="H36" s="55">
        <v>6.27</v>
      </c>
      <c r="I36" s="54"/>
      <c r="J36" s="159">
        <v>7.52</v>
      </c>
      <c r="K36" s="54"/>
      <c r="L36" s="56">
        <f t="shared" si="0"/>
        <v>-0.35000000000000053</v>
      </c>
      <c r="M36" s="56">
        <f t="shared" si="1"/>
        <v>1.25</v>
      </c>
    </row>
    <row r="37" spans="2:13" ht="16.5" customHeight="1">
      <c r="B37" s="28"/>
      <c r="C37" s="29" t="s">
        <v>0</v>
      </c>
      <c r="D37" s="11" t="s">
        <v>30</v>
      </c>
      <c r="E37" s="5" t="s">
        <v>0</v>
      </c>
      <c r="F37" s="55">
        <v>3.02</v>
      </c>
      <c r="G37" s="55"/>
      <c r="H37" s="55">
        <v>2.62</v>
      </c>
      <c r="I37" s="54"/>
      <c r="J37" s="159">
        <v>2.57</v>
      </c>
      <c r="K37" s="54"/>
      <c r="L37" s="56">
        <f t="shared" si="0"/>
        <v>-0.39999999999999991</v>
      </c>
      <c r="M37" s="56">
        <f t="shared" si="1"/>
        <v>-5.0000000000000266E-2</v>
      </c>
    </row>
    <row r="38" spans="2:13" ht="16.5" customHeight="1">
      <c r="B38" s="28"/>
      <c r="C38" s="29" t="s">
        <v>0</v>
      </c>
      <c r="D38" s="11" t="s">
        <v>31</v>
      </c>
      <c r="E38" s="5" t="s">
        <v>0</v>
      </c>
      <c r="F38" s="55">
        <v>0.35</v>
      </c>
      <c r="G38" s="55"/>
      <c r="H38" s="55">
        <v>0.51</v>
      </c>
      <c r="I38" s="54"/>
      <c r="J38" s="159">
        <v>0.44</v>
      </c>
      <c r="K38" s="54"/>
      <c r="L38" s="56">
        <f t="shared" si="0"/>
        <v>0.16000000000000003</v>
      </c>
      <c r="M38" s="56">
        <f t="shared" si="1"/>
        <v>-7.0000000000000007E-2</v>
      </c>
    </row>
    <row r="39" spans="2:13" ht="16.5" customHeight="1">
      <c r="B39" s="28"/>
      <c r="C39" s="29" t="s">
        <v>0</v>
      </c>
      <c r="D39" s="11" t="s">
        <v>32</v>
      </c>
      <c r="E39" s="5" t="s">
        <v>0</v>
      </c>
      <c r="F39" s="55">
        <v>5.67</v>
      </c>
      <c r="G39" s="55"/>
      <c r="H39" s="55">
        <v>3.97</v>
      </c>
      <c r="I39" s="54"/>
      <c r="J39" s="159">
        <v>3.56</v>
      </c>
      <c r="K39" s="54"/>
      <c r="L39" s="56">
        <f t="shared" si="0"/>
        <v>-1.6999999999999997</v>
      </c>
      <c r="M39" s="56">
        <f t="shared" si="1"/>
        <v>-0.41000000000000014</v>
      </c>
    </row>
    <row r="40" spans="2:13" ht="16.5" customHeight="1">
      <c r="B40" s="28"/>
      <c r="C40" s="29" t="s">
        <v>0</v>
      </c>
      <c r="D40" s="11" t="s">
        <v>33</v>
      </c>
      <c r="E40" s="5" t="s">
        <v>0</v>
      </c>
      <c r="F40" s="55">
        <v>2.29</v>
      </c>
      <c r="G40" s="55"/>
      <c r="H40" s="55">
        <v>3.06</v>
      </c>
      <c r="I40" s="54"/>
      <c r="J40" s="159">
        <v>2.94</v>
      </c>
      <c r="K40" s="54"/>
      <c r="L40" s="56">
        <f t="shared" si="0"/>
        <v>0.77</v>
      </c>
      <c r="M40" s="56">
        <f t="shared" si="1"/>
        <v>-0.12000000000000011</v>
      </c>
    </row>
    <row r="41" spans="2:13" ht="16.5" customHeight="1">
      <c r="B41" s="28"/>
      <c r="C41" s="275" t="s">
        <v>167</v>
      </c>
      <c r="D41" s="275"/>
      <c r="E41" s="4" t="s">
        <v>0</v>
      </c>
      <c r="F41" s="52">
        <v>2.87</v>
      </c>
      <c r="G41" s="52"/>
      <c r="H41" s="52">
        <v>3.15</v>
      </c>
      <c r="I41" s="50"/>
      <c r="J41" s="158">
        <v>3.63</v>
      </c>
      <c r="K41" s="50"/>
      <c r="L41" s="53">
        <f t="shared" si="0"/>
        <v>0.2799999999999998</v>
      </c>
      <c r="M41" s="53">
        <f t="shared" si="1"/>
        <v>0.48</v>
      </c>
    </row>
    <row r="42" spans="2:13" ht="16.5" customHeight="1">
      <c r="B42" s="28"/>
      <c r="C42" s="29" t="s">
        <v>0</v>
      </c>
      <c r="D42" s="11" t="s">
        <v>34</v>
      </c>
      <c r="E42" s="5" t="s">
        <v>0</v>
      </c>
      <c r="F42" s="55">
        <v>2.1</v>
      </c>
      <c r="G42" s="55"/>
      <c r="H42" s="55">
        <v>1.82</v>
      </c>
      <c r="I42" s="54"/>
      <c r="J42" s="159">
        <v>2.57</v>
      </c>
      <c r="K42" s="54"/>
      <c r="L42" s="56">
        <f t="shared" si="0"/>
        <v>-0.28000000000000003</v>
      </c>
      <c r="M42" s="56">
        <f t="shared" si="1"/>
        <v>0.74999999999999978</v>
      </c>
    </row>
    <row r="43" spans="2:13" ht="16.5" customHeight="1">
      <c r="B43" s="28"/>
      <c r="C43" s="29" t="s">
        <v>0</v>
      </c>
      <c r="D43" s="11" t="s">
        <v>20</v>
      </c>
      <c r="E43" s="5" t="s">
        <v>0</v>
      </c>
      <c r="F43" s="55">
        <v>1.44</v>
      </c>
      <c r="G43" s="55"/>
      <c r="H43" s="55">
        <v>1.41</v>
      </c>
      <c r="I43" s="54"/>
      <c r="J43" s="159">
        <v>1.47</v>
      </c>
      <c r="K43" s="54"/>
      <c r="L43" s="56">
        <f t="shared" si="0"/>
        <v>-3.0000000000000027E-2</v>
      </c>
      <c r="M43" s="56">
        <f t="shared" si="1"/>
        <v>6.0000000000000053E-2</v>
      </c>
    </row>
    <row r="44" spans="2:13" ht="16.5" customHeight="1">
      <c r="B44" s="28"/>
      <c r="C44" s="29" t="s">
        <v>0</v>
      </c>
      <c r="D44" s="11" t="s">
        <v>21</v>
      </c>
      <c r="E44" s="5" t="s">
        <v>0</v>
      </c>
      <c r="F44" s="55">
        <v>5.23</v>
      </c>
      <c r="G44" s="55"/>
      <c r="H44" s="55">
        <v>6.21</v>
      </c>
      <c r="I44" s="54"/>
      <c r="J44" s="159">
        <v>6.15</v>
      </c>
      <c r="K44" s="54"/>
      <c r="L44" s="56">
        <f t="shared" si="0"/>
        <v>0.97999999999999954</v>
      </c>
      <c r="M44" s="56">
        <f t="shared" si="1"/>
        <v>-5.9999999999999609E-2</v>
      </c>
    </row>
    <row r="45" spans="2:13" ht="16.5" customHeight="1">
      <c r="B45" s="28"/>
      <c r="C45" s="275" t="s">
        <v>168</v>
      </c>
      <c r="D45" s="275"/>
      <c r="E45" s="4" t="s">
        <v>0</v>
      </c>
      <c r="F45" s="52">
        <v>4.3600000000000003</v>
      </c>
      <c r="G45" s="52"/>
      <c r="H45" s="52">
        <v>4.2300000000000004</v>
      </c>
      <c r="I45" s="50"/>
      <c r="J45" s="158">
        <v>4.53</v>
      </c>
      <c r="K45" s="50"/>
      <c r="L45" s="53">
        <f t="shared" si="0"/>
        <v>-0.12999999999999989</v>
      </c>
      <c r="M45" s="53">
        <f t="shared" si="1"/>
        <v>0.29999999999999982</v>
      </c>
    </row>
    <row r="46" spans="2:13" ht="16.5" customHeight="1">
      <c r="B46" s="28"/>
      <c r="C46" s="29" t="s">
        <v>0</v>
      </c>
      <c r="D46" s="11" t="s">
        <v>23</v>
      </c>
      <c r="E46" s="5" t="s">
        <v>0</v>
      </c>
      <c r="F46" s="55">
        <v>5.65</v>
      </c>
      <c r="G46" s="55"/>
      <c r="H46" s="55">
        <v>5.27</v>
      </c>
      <c r="I46" s="54"/>
      <c r="J46" s="159">
        <v>5.44</v>
      </c>
      <c r="K46" s="54"/>
      <c r="L46" s="56">
        <f t="shared" si="0"/>
        <v>-0.38000000000000078</v>
      </c>
      <c r="M46" s="56">
        <f t="shared" si="1"/>
        <v>0.17000000000000082</v>
      </c>
    </row>
    <row r="47" spans="2:13" ht="16.5" customHeight="1">
      <c r="B47" s="28"/>
      <c r="C47" s="29" t="s">
        <v>0</v>
      </c>
      <c r="D47" s="11" t="s">
        <v>35</v>
      </c>
      <c r="E47" s="5" t="s">
        <v>0</v>
      </c>
      <c r="F47" s="55">
        <v>2.4500000000000002</v>
      </c>
      <c r="G47" s="55"/>
      <c r="H47" s="57">
        <v>2.5</v>
      </c>
      <c r="I47" s="54"/>
      <c r="J47" s="160">
        <v>2.74</v>
      </c>
      <c r="K47" s="54"/>
      <c r="L47" s="56">
        <f t="shared" si="0"/>
        <v>4.9999999999999822E-2</v>
      </c>
      <c r="M47" s="56">
        <f t="shared" si="1"/>
        <v>0.24000000000000021</v>
      </c>
    </row>
    <row r="48" spans="2:13" ht="16.5" customHeight="1">
      <c r="B48" s="28"/>
      <c r="C48" s="29"/>
      <c r="D48" s="11" t="s">
        <v>36</v>
      </c>
      <c r="E48" s="5"/>
      <c r="F48" s="57">
        <v>3.05</v>
      </c>
      <c r="G48" s="57"/>
      <c r="H48" s="57">
        <v>2.97</v>
      </c>
      <c r="I48" s="56"/>
      <c r="J48" s="160">
        <v>3.53</v>
      </c>
      <c r="K48" s="56"/>
      <c r="L48" s="56">
        <f t="shared" si="0"/>
        <v>-7.9999999999999627E-2</v>
      </c>
      <c r="M48" s="56">
        <f t="shared" si="1"/>
        <v>0.55999999999999961</v>
      </c>
    </row>
    <row r="49" spans="2:13" ht="16.5" customHeight="1">
      <c r="B49" s="276" t="s">
        <v>169</v>
      </c>
      <c r="C49" s="276"/>
      <c r="D49" s="276"/>
      <c r="E49" s="4" t="s">
        <v>0</v>
      </c>
      <c r="F49" s="66">
        <v>0</v>
      </c>
      <c r="G49" s="52"/>
      <c r="H49" s="66">
        <v>0.04</v>
      </c>
      <c r="I49" s="50"/>
      <c r="J49" s="161">
        <v>7.0000000000000007E-2</v>
      </c>
      <c r="K49" s="50"/>
      <c r="L49" s="58">
        <f t="shared" si="0"/>
        <v>0.04</v>
      </c>
      <c r="M49" s="58">
        <f t="shared" si="1"/>
        <v>3.0000000000000006E-2</v>
      </c>
    </row>
    <row r="50" spans="2:13" ht="16.5" customHeight="1" thickBot="1">
      <c r="B50" s="277" t="s">
        <v>170</v>
      </c>
      <c r="C50" s="277"/>
      <c r="D50" s="277"/>
      <c r="E50" s="6" t="s">
        <v>0</v>
      </c>
      <c r="F50" s="61">
        <v>15.08</v>
      </c>
      <c r="G50" s="61"/>
      <c r="H50" s="61">
        <v>12.45</v>
      </c>
      <c r="I50" s="60"/>
      <c r="J50" s="162">
        <v>10.74</v>
      </c>
      <c r="K50" s="60"/>
      <c r="L50" s="60">
        <f t="shared" si="0"/>
        <v>-2.6300000000000008</v>
      </c>
      <c r="M50" s="60">
        <f t="shared" si="1"/>
        <v>-1.7099999999999991</v>
      </c>
    </row>
    <row r="51" spans="2:13" ht="9" customHeight="1" thickTop="1">
      <c r="D51" s="7"/>
    </row>
    <row r="52" spans="2:13">
      <c r="D52" s="12" t="s">
        <v>151</v>
      </c>
    </row>
    <row r="53" spans="2:13">
      <c r="D53" s="37"/>
      <c r="E53" s="12"/>
    </row>
  </sheetData>
  <mergeCells count="19">
    <mergeCell ref="C15:D15"/>
    <mergeCell ref="B3:M3"/>
    <mergeCell ref="B4:M4"/>
    <mergeCell ref="B6:D6"/>
    <mergeCell ref="B7:D7"/>
    <mergeCell ref="B8:D8"/>
    <mergeCell ref="B9:D9"/>
    <mergeCell ref="C10:D10"/>
    <mergeCell ref="C41:D41"/>
    <mergeCell ref="C45:D45"/>
    <mergeCell ref="B49:D49"/>
    <mergeCell ref="B50:D50"/>
    <mergeCell ref="C21:D21"/>
    <mergeCell ref="B27:D27"/>
    <mergeCell ref="B30:D30"/>
    <mergeCell ref="B31:D31"/>
    <mergeCell ref="C32:D32"/>
    <mergeCell ref="C35:D35"/>
    <mergeCell ref="C26:D26"/>
  </mergeCells>
  <phoneticPr fontId="1" type="noConversion"/>
  <hyperlinks>
    <hyperlink ref="A1" location="목차!A1" display="(목차로 이동)" xr:uid="{00000000-0004-0000-0500-000000000000}"/>
  </hyperlinks>
  <pageMargins left="0.7" right="0.7" top="0.75" bottom="0.75" header="0.3" footer="0.3"/>
  <pageSetup paperSize="9" scale="86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5" tint="0.79998168889431442"/>
    <pageSetUpPr fitToPage="1"/>
  </sheetPr>
  <dimension ref="A1:R53"/>
  <sheetViews>
    <sheetView view="pageBreakPreview" zoomScaleNormal="100" zoomScaleSheetLayoutView="100" workbookViewId="0">
      <selection activeCell="B3" sqref="B3:M3"/>
    </sheetView>
  </sheetViews>
  <sheetFormatPr defaultRowHeight="16.5"/>
  <cols>
    <col min="1" max="1" width="2.625" customWidth="1"/>
    <col min="2" max="2" width="2.125" customWidth="1"/>
    <col min="3" max="3" width="2.125" style="7" customWidth="1"/>
    <col min="4" max="4" width="26.625" style="35" customWidth="1"/>
    <col min="5" max="5" width="1.625" customWidth="1"/>
    <col min="6" max="6" width="8.625" style="23" customWidth="1"/>
    <col min="7" max="7" width="1.625" customWidth="1"/>
    <col min="8" max="8" width="8.625" customWidth="1"/>
    <col min="9" max="9" width="1.625" customWidth="1"/>
    <col min="10" max="10" width="8.625" customWidth="1"/>
    <col min="11" max="11" width="1.625" customWidth="1"/>
    <col min="12" max="13" width="8.625" style="105" customWidth="1"/>
  </cols>
  <sheetData>
    <row r="1" spans="1:18">
      <c r="A1" s="32" t="s">
        <v>172</v>
      </c>
    </row>
    <row r="2" spans="1:18" ht="6" customHeight="1">
      <c r="A2" s="32"/>
    </row>
    <row r="3" spans="1:18" ht="18">
      <c r="B3" s="278" t="s">
        <v>177</v>
      </c>
      <c r="C3" s="278"/>
      <c r="D3" s="278"/>
      <c r="E3" s="278"/>
      <c r="F3" s="278"/>
      <c r="G3" s="278"/>
      <c r="H3" s="278"/>
      <c r="I3" s="278"/>
      <c r="J3" s="278"/>
      <c r="K3" s="278"/>
      <c r="L3" s="278"/>
      <c r="M3" s="278"/>
      <c r="N3" s="33"/>
      <c r="O3" s="33"/>
      <c r="P3" s="33"/>
      <c r="Q3" s="33"/>
    </row>
    <row r="4" spans="1:18" ht="18">
      <c r="B4" s="286" t="s">
        <v>174</v>
      </c>
      <c r="C4" s="286"/>
      <c r="D4" s="286"/>
      <c r="E4" s="286"/>
      <c r="F4" s="286"/>
      <c r="G4" s="286"/>
      <c r="H4" s="286"/>
      <c r="I4" s="286"/>
      <c r="J4" s="286"/>
      <c r="K4" s="286"/>
      <c r="L4" s="286"/>
      <c r="M4" s="286"/>
      <c r="N4" s="33"/>
      <c r="O4" s="33"/>
      <c r="P4" s="33"/>
      <c r="Q4" s="33"/>
    </row>
    <row r="5" spans="1:18" ht="8.25" customHeight="1" thickBot="1">
      <c r="B5" s="46"/>
      <c r="D5" s="7"/>
      <c r="L5" s="39"/>
      <c r="M5" s="39"/>
    </row>
    <row r="6" spans="1:18" ht="18" thickTop="1" thickBot="1">
      <c r="B6" s="283" t="s">
        <v>0</v>
      </c>
      <c r="C6" s="287"/>
      <c r="D6" s="287"/>
      <c r="E6" s="2" t="s">
        <v>0</v>
      </c>
      <c r="F6" s="163" t="s">
        <v>290</v>
      </c>
      <c r="G6" s="2" t="s">
        <v>0</v>
      </c>
      <c r="H6" s="163" t="s">
        <v>291</v>
      </c>
      <c r="I6" s="3" t="s">
        <v>0</v>
      </c>
      <c r="J6" s="164" t="s">
        <v>292</v>
      </c>
      <c r="K6" s="3"/>
      <c r="L6" s="153" t="s">
        <v>251</v>
      </c>
      <c r="M6" s="153" t="s">
        <v>252</v>
      </c>
    </row>
    <row r="7" spans="1:18" ht="16.5" customHeight="1" thickTop="1">
      <c r="B7" s="281" t="s">
        <v>1</v>
      </c>
      <c r="C7" s="281"/>
      <c r="D7" s="281"/>
      <c r="E7" s="4" t="s">
        <v>0</v>
      </c>
      <c r="F7" s="52">
        <v>51.6</v>
      </c>
      <c r="G7" s="50"/>
      <c r="H7" s="51">
        <v>54.2</v>
      </c>
      <c r="I7" s="50"/>
      <c r="J7" s="157">
        <v>50.5</v>
      </c>
      <c r="K7" s="50"/>
      <c r="L7" s="49">
        <f t="shared" ref="L7:L50" si="0">H7-F7</f>
        <v>2.6000000000000014</v>
      </c>
      <c r="M7" s="49">
        <f t="shared" ref="M7:M50" si="1">J7-H7</f>
        <v>-3.7000000000000028</v>
      </c>
      <c r="R7" s="38"/>
    </row>
    <row r="8" spans="1:18" ht="16.5" customHeight="1">
      <c r="B8" s="275" t="s">
        <v>2</v>
      </c>
      <c r="C8" s="275"/>
      <c r="D8" s="275"/>
      <c r="E8" s="4" t="s">
        <v>0</v>
      </c>
      <c r="F8" s="52">
        <v>53.3</v>
      </c>
      <c r="G8" s="50"/>
      <c r="H8" s="52">
        <v>51.8</v>
      </c>
      <c r="I8" s="50"/>
      <c r="J8" s="158">
        <v>41.7</v>
      </c>
      <c r="K8" s="50"/>
      <c r="L8" s="53">
        <f t="shared" si="0"/>
        <v>-1.5</v>
      </c>
      <c r="M8" s="53">
        <f t="shared" si="1"/>
        <v>-10.099999999999994</v>
      </c>
    </row>
    <row r="9" spans="1:18" ht="16.5" customHeight="1">
      <c r="B9" s="275" t="s">
        <v>178</v>
      </c>
      <c r="C9" s="275"/>
      <c r="D9" s="275"/>
      <c r="E9" s="4" t="s">
        <v>0</v>
      </c>
      <c r="F9" s="52">
        <v>26.3</v>
      </c>
      <c r="G9" s="50"/>
      <c r="H9" s="52">
        <v>28.3</v>
      </c>
      <c r="I9" s="50"/>
      <c r="J9" s="158">
        <v>28.8</v>
      </c>
      <c r="K9" s="50"/>
      <c r="L9" s="53">
        <f t="shared" si="0"/>
        <v>2</v>
      </c>
      <c r="M9" s="53">
        <f t="shared" si="1"/>
        <v>0.5</v>
      </c>
    </row>
    <row r="10" spans="1:18" ht="16.5" customHeight="1">
      <c r="B10" s="28"/>
      <c r="C10" s="275" t="s">
        <v>179</v>
      </c>
      <c r="D10" s="275"/>
      <c r="E10" s="4" t="s">
        <v>0</v>
      </c>
      <c r="F10" s="52">
        <v>24.9</v>
      </c>
      <c r="G10" s="50"/>
      <c r="H10" s="52">
        <v>24.6</v>
      </c>
      <c r="I10" s="50"/>
      <c r="J10" s="158">
        <v>25.9</v>
      </c>
      <c r="K10" s="50"/>
      <c r="L10" s="53">
        <f t="shared" si="0"/>
        <v>-0.29999999999999716</v>
      </c>
      <c r="M10" s="53">
        <f t="shared" si="1"/>
        <v>1.2999999999999972</v>
      </c>
    </row>
    <row r="11" spans="1:18" ht="16.5" customHeight="1">
      <c r="B11" s="28"/>
      <c r="C11" s="29" t="s">
        <v>0</v>
      </c>
      <c r="D11" s="11" t="s">
        <v>5</v>
      </c>
      <c r="E11" s="5" t="s">
        <v>0</v>
      </c>
      <c r="F11" s="55">
        <v>24.8</v>
      </c>
      <c r="G11" s="54"/>
      <c r="H11" s="55">
        <v>25.1</v>
      </c>
      <c r="I11" s="54"/>
      <c r="J11" s="159">
        <v>25.8</v>
      </c>
      <c r="K11" s="54"/>
      <c r="L11" s="56">
        <f t="shared" si="0"/>
        <v>0.30000000000000071</v>
      </c>
      <c r="M11" s="56">
        <f t="shared" si="1"/>
        <v>0.69999999999999929</v>
      </c>
    </row>
    <row r="12" spans="1:18" ht="16.5" customHeight="1">
      <c r="B12" s="28"/>
      <c r="C12" s="29" t="s">
        <v>0</v>
      </c>
      <c r="D12" s="11" t="s">
        <v>6</v>
      </c>
      <c r="E12" s="5" t="s">
        <v>0</v>
      </c>
      <c r="F12" s="55">
        <v>21.8</v>
      </c>
      <c r="G12" s="54"/>
      <c r="H12" s="55">
        <v>19.3</v>
      </c>
      <c r="I12" s="54"/>
      <c r="J12" s="159">
        <v>21.8</v>
      </c>
      <c r="K12" s="54"/>
      <c r="L12" s="56">
        <f t="shared" si="0"/>
        <v>-2.5</v>
      </c>
      <c r="M12" s="56">
        <f t="shared" si="1"/>
        <v>2.5</v>
      </c>
    </row>
    <row r="13" spans="1:18" ht="16.5" customHeight="1">
      <c r="B13" s="28"/>
      <c r="C13" s="29" t="s">
        <v>0</v>
      </c>
      <c r="D13" s="11" t="s">
        <v>7</v>
      </c>
      <c r="E13" s="5" t="s">
        <v>0</v>
      </c>
      <c r="F13" s="55">
        <v>28.9</v>
      </c>
      <c r="G13" s="54"/>
      <c r="H13" s="55">
        <v>31.2</v>
      </c>
      <c r="I13" s="54"/>
      <c r="J13" s="159">
        <v>29.8</v>
      </c>
      <c r="K13" s="54"/>
      <c r="L13" s="56">
        <f t="shared" si="0"/>
        <v>2.3000000000000007</v>
      </c>
      <c r="M13" s="56">
        <f t="shared" si="1"/>
        <v>-1.3999999999999986</v>
      </c>
    </row>
    <row r="14" spans="1:18" ht="16.5" customHeight="1">
      <c r="B14" s="28"/>
      <c r="C14" s="29" t="s">
        <v>0</v>
      </c>
      <c r="D14" s="11" t="s">
        <v>215</v>
      </c>
      <c r="E14" s="5" t="s">
        <v>0</v>
      </c>
      <c r="F14" s="55">
        <v>28.8</v>
      </c>
      <c r="G14" s="54"/>
      <c r="H14" s="55">
        <v>28</v>
      </c>
      <c r="I14" s="54"/>
      <c r="J14" s="159">
        <v>29.4</v>
      </c>
      <c r="K14" s="54"/>
      <c r="L14" s="56">
        <f t="shared" si="0"/>
        <v>-0.80000000000000071</v>
      </c>
      <c r="M14" s="56">
        <f t="shared" si="1"/>
        <v>1.3999999999999986</v>
      </c>
    </row>
    <row r="15" spans="1:18" ht="16.5" customHeight="1">
      <c r="B15" s="28"/>
      <c r="C15" s="275" t="s">
        <v>158</v>
      </c>
      <c r="D15" s="275"/>
      <c r="E15" s="4" t="s">
        <v>0</v>
      </c>
      <c r="F15" s="52">
        <v>25.6</v>
      </c>
      <c r="G15" s="50"/>
      <c r="H15" s="52">
        <v>28.7</v>
      </c>
      <c r="I15" s="50"/>
      <c r="J15" s="158">
        <v>27.2</v>
      </c>
      <c r="K15" s="50"/>
      <c r="L15" s="53">
        <f t="shared" si="0"/>
        <v>3.0999999999999979</v>
      </c>
      <c r="M15" s="53">
        <f t="shared" si="1"/>
        <v>-1.5</v>
      </c>
    </row>
    <row r="16" spans="1:18" ht="16.5" customHeight="1">
      <c r="B16" s="28"/>
      <c r="C16" s="29" t="s">
        <v>0</v>
      </c>
      <c r="D16" s="11" t="s">
        <v>9</v>
      </c>
      <c r="E16" s="5" t="s">
        <v>0</v>
      </c>
      <c r="F16" s="55">
        <v>26.5</v>
      </c>
      <c r="G16" s="54"/>
      <c r="H16" s="55">
        <v>30.8</v>
      </c>
      <c r="I16" s="54"/>
      <c r="J16" s="159">
        <v>24.4</v>
      </c>
      <c r="K16" s="54"/>
      <c r="L16" s="56">
        <f t="shared" si="0"/>
        <v>4.3000000000000007</v>
      </c>
      <c r="M16" s="56">
        <f t="shared" si="1"/>
        <v>-6.4000000000000021</v>
      </c>
    </row>
    <row r="17" spans="2:13" ht="16.5" customHeight="1">
      <c r="B17" s="28"/>
      <c r="C17" s="29" t="s">
        <v>0</v>
      </c>
      <c r="D17" s="11" t="s">
        <v>10</v>
      </c>
      <c r="E17" s="5" t="s">
        <v>0</v>
      </c>
      <c r="F17" s="55">
        <v>26</v>
      </c>
      <c r="G17" s="54"/>
      <c r="H17" s="55">
        <v>28.9</v>
      </c>
      <c r="I17" s="54"/>
      <c r="J17" s="159">
        <v>29.7</v>
      </c>
      <c r="K17" s="54"/>
      <c r="L17" s="56">
        <f t="shared" si="0"/>
        <v>2.8999999999999986</v>
      </c>
      <c r="M17" s="56">
        <f t="shared" si="1"/>
        <v>0.80000000000000071</v>
      </c>
    </row>
    <row r="18" spans="2:13" ht="16.5" customHeight="1">
      <c r="B18" s="28"/>
      <c r="C18" s="29" t="s">
        <v>0</v>
      </c>
      <c r="D18" s="11" t="s">
        <v>11</v>
      </c>
      <c r="E18" s="5" t="s">
        <v>0</v>
      </c>
      <c r="F18" s="55">
        <v>30.3</v>
      </c>
      <c r="G18" s="54"/>
      <c r="H18" s="55">
        <v>31.4</v>
      </c>
      <c r="I18" s="54"/>
      <c r="J18" s="159">
        <v>29.9</v>
      </c>
      <c r="K18" s="54"/>
      <c r="L18" s="56">
        <f t="shared" si="0"/>
        <v>1.0999999999999979</v>
      </c>
      <c r="M18" s="56">
        <f t="shared" si="1"/>
        <v>-1.5</v>
      </c>
    </row>
    <row r="19" spans="2:13" ht="16.5" customHeight="1">
      <c r="B19" s="28"/>
      <c r="C19" s="29" t="s">
        <v>0</v>
      </c>
      <c r="D19" s="30" t="s">
        <v>12</v>
      </c>
      <c r="E19" s="5" t="s">
        <v>0</v>
      </c>
      <c r="F19" s="55">
        <v>19.8</v>
      </c>
      <c r="G19" s="54"/>
      <c r="H19" s="55">
        <v>20.2</v>
      </c>
      <c r="I19" s="54"/>
      <c r="J19" s="159">
        <v>19.5</v>
      </c>
      <c r="K19" s="54"/>
      <c r="L19" s="56">
        <f t="shared" si="0"/>
        <v>0.39999999999999858</v>
      </c>
      <c r="M19" s="56">
        <f t="shared" si="1"/>
        <v>-0.69999999999999929</v>
      </c>
    </row>
    <row r="20" spans="2:13" ht="16.5" customHeight="1">
      <c r="B20" s="28"/>
      <c r="C20" s="29" t="s">
        <v>0</v>
      </c>
      <c r="D20" s="11" t="s">
        <v>24</v>
      </c>
      <c r="E20" s="5" t="s">
        <v>0</v>
      </c>
      <c r="F20" s="55">
        <v>30.9</v>
      </c>
      <c r="G20" s="54"/>
      <c r="H20" s="55">
        <v>35.9</v>
      </c>
      <c r="I20" s="54"/>
      <c r="J20" s="159">
        <v>32.1</v>
      </c>
      <c r="K20" s="54"/>
      <c r="L20" s="56">
        <f t="shared" si="0"/>
        <v>5</v>
      </c>
      <c r="M20" s="56">
        <f t="shared" si="1"/>
        <v>-3.7999999999999972</v>
      </c>
    </row>
    <row r="21" spans="2:13" ht="16.5" customHeight="1">
      <c r="B21" s="28"/>
      <c r="C21" s="275" t="s">
        <v>159</v>
      </c>
      <c r="D21" s="275"/>
      <c r="E21" s="4" t="s">
        <v>0</v>
      </c>
      <c r="F21" s="52">
        <v>25.9</v>
      </c>
      <c r="G21" s="50"/>
      <c r="H21" s="52">
        <v>27.5</v>
      </c>
      <c r="I21" s="50"/>
      <c r="J21" s="158">
        <v>29.1</v>
      </c>
      <c r="K21" s="50"/>
      <c r="L21" s="53">
        <f t="shared" si="0"/>
        <v>1.6000000000000014</v>
      </c>
      <c r="M21" s="53">
        <f t="shared" si="1"/>
        <v>1.6000000000000014</v>
      </c>
    </row>
    <row r="22" spans="2:13" ht="16.5" customHeight="1">
      <c r="B22" s="28"/>
      <c r="C22" s="29" t="s">
        <v>0</v>
      </c>
      <c r="D22" s="11" t="s">
        <v>64</v>
      </c>
      <c r="E22" s="5" t="s">
        <v>0</v>
      </c>
      <c r="F22" s="55">
        <v>29</v>
      </c>
      <c r="G22" s="54"/>
      <c r="H22" s="55">
        <v>33.299999999999997</v>
      </c>
      <c r="I22" s="54"/>
      <c r="J22" s="159">
        <v>36</v>
      </c>
      <c r="K22" s="54"/>
      <c r="L22" s="56">
        <f t="shared" si="0"/>
        <v>4.2999999999999972</v>
      </c>
      <c r="M22" s="56">
        <f t="shared" si="1"/>
        <v>2.7000000000000028</v>
      </c>
    </row>
    <row r="23" spans="2:13" ht="16.5" customHeight="1">
      <c r="B23" s="28"/>
      <c r="C23" s="29" t="s">
        <v>0</v>
      </c>
      <c r="D23" s="11" t="s">
        <v>25</v>
      </c>
      <c r="E23" s="5" t="s">
        <v>0</v>
      </c>
      <c r="F23" s="55">
        <v>27.1</v>
      </c>
      <c r="G23" s="54"/>
      <c r="H23" s="55">
        <v>30.5</v>
      </c>
      <c r="I23" s="54"/>
      <c r="J23" s="159">
        <v>26.5</v>
      </c>
      <c r="K23" s="54"/>
      <c r="L23" s="56">
        <f t="shared" si="0"/>
        <v>3.3999999999999986</v>
      </c>
      <c r="M23" s="56">
        <f t="shared" si="1"/>
        <v>-4</v>
      </c>
    </row>
    <row r="24" spans="2:13" ht="16.5" customHeight="1">
      <c r="B24" s="28"/>
      <c r="C24" s="29" t="s">
        <v>0</v>
      </c>
      <c r="D24" s="11" t="s">
        <v>26</v>
      </c>
      <c r="E24" s="5" t="s">
        <v>0</v>
      </c>
      <c r="F24" s="55">
        <v>26.1</v>
      </c>
      <c r="G24" s="54"/>
      <c r="H24" s="55">
        <v>29.4</v>
      </c>
      <c r="I24" s="54"/>
      <c r="J24" s="159">
        <v>30</v>
      </c>
      <c r="K24" s="54"/>
      <c r="L24" s="56">
        <f t="shared" si="0"/>
        <v>3.2999999999999972</v>
      </c>
      <c r="M24" s="56">
        <f t="shared" si="1"/>
        <v>0.60000000000000142</v>
      </c>
    </row>
    <row r="25" spans="2:13" ht="16.5" customHeight="1">
      <c r="B25" s="28"/>
      <c r="C25" s="29" t="s">
        <v>0</v>
      </c>
      <c r="D25" s="11" t="s">
        <v>27</v>
      </c>
      <c r="E25" s="5" t="s">
        <v>0</v>
      </c>
      <c r="F25" s="55">
        <v>21.3</v>
      </c>
      <c r="G25" s="54"/>
      <c r="H25" s="55">
        <v>19.2</v>
      </c>
      <c r="I25" s="54"/>
      <c r="J25" s="159">
        <v>20.8</v>
      </c>
      <c r="K25" s="54"/>
      <c r="L25" s="56">
        <f t="shared" si="0"/>
        <v>-2.1000000000000014</v>
      </c>
      <c r="M25" s="56">
        <f t="shared" si="1"/>
        <v>1.6000000000000014</v>
      </c>
    </row>
    <row r="26" spans="2:13" s="128" customFormat="1" ht="16.5" customHeight="1">
      <c r="B26" s="127"/>
      <c r="C26" s="275" t="s">
        <v>216</v>
      </c>
      <c r="D26" s="275"/>
      <c r="E26" s="4"/>
      <c r="F26" s="52">
        <v>51.9</v>
      </c>
      <c r="G26" s="50"/>
      <c r="H26" s="52">
        <v>49.1</v>
      </c>
      <c r="I26" s="50"/>
      <c r="J26" s="158">
        <v>52.3</v>
      </c>
      <c r="K26" s="50"/>
      <c r="L26" s="53">
        <f t="shared" si="0"/>
        <v>-2.7999999999999972</v>
      </c>
      <c r="M26" s="53">
        <f t="shared" si="1"/>
        <v>3.1999999999999957</v>
      </c>
    </row>
    <row r="27" spans="2:13" ht="16.5" customHeight="1">
      <c r="B27" s="275" t="s">
        <v>161</v>
      </c>
      <c r="C27" s="275"/>
      <c r="D27" s="275"/>
      <c r="E27" s="4" t="s">
        <v>0</v>
      </c>
      <c r="F27" s="52">
        <v>30.5</v>
      </c>
      <c r="G27" s="50"/>
      <c r="H27" s="52">
        <v>39.6</v>
      </c>
      <c r="I27" s="50"/>
      <c r="J27" s="158">
        <v>39.9</v>
      </c>
      <c r="K27" s="50"/>
      <c r="L27" s="53">
        <f t="shared" si="0"/>
        <v>9.1000000000000014</v>
      </c>
      <c r="M27" s="53">
        <f t="shared" si="1"/>
        <v>0.29999999999999716</v>
      </c>
    </row>
    <row r="28" spans="2:13" ht="16.5" customHeight="1">
      <c r="B28" s="28"/>
      <c r="C28" s="29" t="s">
        <v>0</v>
      </c>
      <c r="D28" s="11" t="s">
        <v>162</v>
      </c>
      <c r="E28" s="5" t="s">
        <v>0</v>
      </c>
      <c r="F28" s="55">
        <v>27.6</v>
      </c>
      <c r="G28" s="55"/>
      <c r="H28" s="55">
        <v>36.799999999999997</v>
      </c>
      <c r="I28" s="54"/>
      <c r="J28" s="159">
        <v>36.200000000000003</v>
      </c>
      <c r="K28" s="54"/>
      <c r="L28" s="56">
        <f t="shared" si="0"/>
        <v>9.1999999999999957</v>
      </c>
      <c r="M28" s="56">
        <f t="shared" si="1"/>
        <v>-0.59999999999999432</v>
      </c>
    </row>
    <row r="29" spans="2:13" ht="16.5" customHeight="1">
      <c r="B29" s="28"/>
      <c r="C29" s="29" t="s">
        <v>0</v>
      </c>
      <c r="D29" s="11" t="s">
        <v>163</v>
      </c>
      <c r="E29" s="5" t="s">
        <v>0</v>
      </c>
      <c r="F29" s="55">
        <v>42.5</v>
      </c>
      <c r="G29" s="55"/>
      <c r="H29" s="55">
        <v>53.4</v>
      </c>
      <c r="I29" s="54"/>
      <c r="J29" s="159">
        <v>50.1</v>
      </c>
      <c r="K29" s="54"/>
      <c r="L29" s="56">
        <f t="shared" si="0"/>
        <v>10.899999999999999</v>
      </c>
      <c r="M29" s="56">
        <f t="shared" si="1"/>
        <v>-3.2999999999999972</v>
      </c>
    </row>
    <row r="30" spans="2:13" ht="16.5" customHeight="1">
      <c r="B30" s="275" t="s">
        <v>15</v>
      </c>
      <c r="C30" s="275"/>
      <c r="D30" s="275"/>
      <c r="E30" s="5" t="s">
        <v>0</v>
      </c>
      <c r="F30" s="52">
        <v>38.299999999999997</v>
      </c>
      <c r="G30" s="50"/>
      <c r="H30" s="52">
        <v>41.8</v>
      </c>
      <c r="I30" s="50"/>
      <c r="J30" s="158">
        <v>44.6</v>
      </c>
      <c r="K30" s="50"/>
      <c r="L30" s="53">
        <f t="shared" si="0"/>
        <v>3.5</v>
      </c>
      <c r="M30" s="53">
        <f t="shared" si="1"/>
        <v>2.8000000000000043</v>
      </c>
    </row>
    <row r="31" spans="2:13" ht="16.5" customHeight="1">
      <c r="B31" s="275" t="s">
        <v>164</v>
      </c>
      <c r="C31" s="276"/>
      <c r="D31" s="276"/>
      <c r="E31" s="4" t="s">
        <v>0</v>
      </c>
      <c r="F31" s="52">
        <v>57.2</v>
      </c>
      <c r="G31" s="50"/>
      <c r="H31" s="52">
        <v>57</v>
      </c>
      <c r="I31" s="50"/>
      <c r="J31" s="158">
        <v>57.8</v>
      </c>
      <c r="K31" s="50"/>
      <c r="L31" s="53">
        <f t="shared" si="0"/>
        <v>-0.20000000000000284</v>
      </c>
      <c r="M31" s="53">
        <f t="shared" si="1"/>
        <v>0.79999999999999716</v>
      </c>
    </row>
    <row r="32" spans="2:13" ht="16.5" customHeight="1">
      <c r="B32" s="28"/>
      <c r="C32" s="275" t="s">
        <v>165</v>
      </c>
      <c r="D32" s="275"/>
      <c r="E32" s="4" t="s">
        <v>0</v>
      </c>
      <c r="F32" s="52">
        <v>46.9</v>
      </c>
      <c r="G32" s="50"/>
      <c r="H32" s="52">
        <v>48.9</v>
      </c>
      <c r="I32" s="50"/>
      <c r="J32" s="158">
        <v>50.4</v>
      </c>
      <c r="K32" s="50"/>
      <c r="L32" s="53">
        <f t="shared" si="0"/>
        <v>2</v>
      </c>
      <c r="M32" s="53">
        <f t="shared" si="1"/>
        <v>1.5</v>
      </c>
    </row>
    <row r="33" spans="2:13" ht="16.5" customHeight="1">
      <c r="B33" s="28"/>
      <c r="C33" s="29" t="s">
        <v>0</v>
      </c>
      <c r="D33" s="11" t="s">
        <v>28</v>
      </c>
      <c r="E33" s="5" t="s">
        <v>0</v>
      </c>
      <c r="F33" s="55">
        <v>56.8</v>
      </c>
      <c r="G33" s="55"/>
      <c r="H33" s="55">
        <v>54.7</v>
      </c>
      <c r="I33" s="54"/>
      <c r="J33" s="159">
        <v>54.7</v>
      </c>
      <c r="K33" s="54"/>
      <c r="L33" s="56">
        <f t="shared" si="0"/>
        <v>-2.0999999999999943</v>
      </c>
      <c r="M33" s="56">
        <f t="shared" si="1"/>
        <v>0</v>
      </c>
    </row>
    <row r="34" spans="2:13" ht="16.5" customHeight="1">
      <c r="B34" s="28"/>
      <c r="C34" s="29" t="s">
        <v>0</v>
      </c>
      <c r="D34" s="11" t="s">
        <v>17</v>
      </c>
      <c r="E34" s="5" t="s">
        <v>0</v>
      </c>
      <c r="F34" s="55">
        <v>32.700000000000003</v>
      </c>
      <c r="G34" s="55"/>
      <c r="H34" s="55">
        <v>38.799999999999997</v>
      </c>
      <c r="I34" s="54"/>
      <c r="J34" s="159">
        <v>40.799999999999997</v>
      </c>
      <c r="K34" s="54"/>
      <c r="L34" s="56">
        <f t="shared" si="0"/>
        <v>6.0999999999999943</v>
      </c>
      <c r="M34" s="56">
        <f t="shared" si="1"/>
        <v>2</v>
      </c>
    </row>
    <row r="35" spans="2:13" ht="16.5" customHeight="1">
      <c r="B35" s="28"/>
      <c r="C35" s="275" t="s">
        <v>166</v>
      </c>
      <c r="D35" s="275"/>
      <c r="E35" s="4" t="s">
        <v>0</v>
      </c>
      <c r="F35" s="52">
        <v>61.8</v>
      </c>
      <c r="G35" s="50"/>
      <c r="H35" s="52">
        <v>61.6</v>
      </c>
      <c r="I35" s="50"/>
      <c r="J35" s="158">
        <v>62.3</v>
      </c>
      <c r="K35" s="50"/>
      <c r="L35" s="53">
        <f t="shared" si="0"/>
        <v>-0.19999999999999574</v>
      </c>
      <c r="M35" s="53">
        <f t="shared" si="1"/>
        <v>0.69999999999999574</v>
      </c>
    </row>
    <row r="36" spans="2:13" ht="16.5" customHeight="1">
      <c r="B36" s="28"/>
      <c r="C36" s="29" t="s">
        <v>0</v>
      </c>
      <c r="D36" s="11" t="s">
        <v>29</v>
      </c>
      <c r="E36" s="5" t="s">
        <v>0</v>
      </c>
      <c r="F36" s="55">
        <v>52.5</v>
      </c>
      <c r="G36" s="55"/>
      <c r="H36" s="55">
        <v>53.9</v>
      </c>
      <c r="I36" s="54"/>
      <c r="J36" s="159">
        <v>54.7</v>
      </c>
      <c r="K36" s="54"/>
      <c r="L36" s="56">
        <f t="shared" si="0"/>
        <v>1.3999999999999986</v>
      </c>
      <c r="M36" s="56">
        <f t="shared" si="1"/>
        <v>0.80000000000000426</v>
      </c>
    </row>
    <row r="37" spans="2:13" ht="16.5" customHeight="1">
      <c r="B37" s="28"/>
      <c r="C37" s="29" t="s">
        <v>0</v>
      </c>
      <c r="D37" s="11" t="s">
        <v>30</v>
      </c>
      <c r="E37" s="5" t="s">
        <v>0</v>
      </c>
      <c r="F37" s="55">
        <v>59.2</v>
      </c>
      <c r="G37" s="55"/>
      <c r="H37" s="55">
        <v>58.8</v>
      </c>
      <c r="I37" s="54"/>
      <c r="J37" s="159">
        <v>61.5</v>
      </c>
      <c r="K37" s="54"/>
      <c r="L37" s="56">
        <f t="shared" si="0"/>
        <v>-0.40000000000000568</v>
      </c>
      <c r="M37" s="56">
        <f t="shared" si="1"/>
        <v>2.7000000000000028</v>
      </c>
    </row>
    <row r="38" spans="2:13" ht="16.5" customHeight="1">
      <c r="B38" s="28"/>
      <c r="C38" s="29" t="s">
        <v>0</v>
      </c>
      <c r="D38" s="11" t="s">
        <v>31</v>
      </c>
      <c r="E38" s="5" t="s">
        <v>0</v>
      </c>
      <c r="F38" s="55">
        <v>79.599999999999994</v>
      </c>
      <c r="G38" s="55"/>
      <c r="H38" s="55">
        <v>76.400000000000006</v>
      </c>
      <c r="I38" s="54"/>
      <c r="J38" s="159">
        <v>74.7</v>
      </c>
      <c r="K38" s="54"/>
      <c r="L38" s="56">
        <f t="shared" si="0"/>
        <v>-3.1999999999999886</v>
      </c>
      <c r="M38" s="56">
        <f t="shared" si="1"/>
        <v>-1.7000000000000028</v>
      </c>
    </row>
    <row r="39" spans="2:13" ht="16.5" customHeight="1">
      <c r="B39" s="28"/>
      <c r="C39" s="29" t="s">
        <v>0</v>
      </c>
      <c r="D39" s="11" t="s">
        <v>32</v>
      </c>
      <c r="E39" s="5" t="s">
        <v>0</v>
      </c>
      <c r="F39" s="55">
        <v>50</v>
      </c>
      <c r="G39" s="55"/>
      <c r="H39" s="55">
        <v>50.9</v>
      </c>
      <c r="I39" s="54"/>
      <c r="J39" s="159">
        <v>54</v>
      </c>
      <c r="K39" s="54"/>
      <c r="L39" s="56">
        <f t="shared" si="0"/>
        <v>0.89999999999999858</v>
      </c>
      <c r="M39" s="56">
        <f t="shared" si="1"/>
        <v>3.1000000000000014</v>
      </c>
    </row>
    <row r="40" spans="2:13" ht="16.5" customHeight="1">
      <c r="B40" s="28"/>
      <c r="C40" s="29" t="s">
        <v>0</v>
      </c>
      <c r="D40" s="11" t="s">
        <v>33</v>
      </c>
      <c r="E40" s="5" t="s">
        <v>0</v>
      </c>
      <c r="F40" s="55">
        <v>70</v>
      </c>
      <c r="G40" s="55"/>
      <c r="H40" s="55">
        <v>69.900000000000006</v>
      </c>
      <c r="I40" s="54"/>
      <c r="J40" s="159">
        <v>65.400000000000006</v>
      </c>
      <c r="K40" s="54"/>
      <c r="L40" s="56">
        <f t="shared" si="0"/>
        <v>-9.9999999999994316E-2</v>
      </c>
      <c r="M40" s="56">
        <f t="shared" si="1"/>
        <v>-4.5</v>
      </c>
    </row>
    <row r="41" spans="2:13" ht="16.5" customHeight="1">
      <c r="B41" s="28"/>
      <c r="C41" s="275" t="s">
        <v>167</v>
      </c>
      <c r="D41" s="275"/>
      <c r="E41" s="4" t="s">
        <v>0</v>
      </c>
      <c r="F41" s="52">
        <v>67.5</v>
      </c>
      <c r="G41" s="50"/>
      <c r="H41" s="52">
        <v>66.5</v>
      </c>
      <c r="I41" s="50"/>
      <c r="J41" s="158">
        <v>67.3</v>
      </c>
      <c r="K41" s="50"/>
      <c r="L41" s="53">
        <f t="shared" si="0"/>
        <v>-1</v>
      </c>
      <c r="M41" s="53">
        <f t="shared" si="1"/>
        <v>0.79999999999999716</v>
      </c>
    </row>
    <row r="42" spans="2:13" ht="16.5" customHeight="1">
      <c r="B42" s="28"/>
      <c r="C42" s="29" t="s">
        <v>0</v>
      </c>
      <c r="D42" s="11" t="s">
        <v>34</v>
      </c>
      <c r="E42" s="5" t="s">
        <v>0</v>
      </c>
      <c r="F42" s="55">
        <v>71.8</v>
      </c>
      <c r="G42" s="55"/>
      <c r="H42" s="55">
        <v>77.400000000000006</v>
      </c>
      <c r="I42" s="54"/>
      <c r="J42" s="159">
        <v>74.8</v>
      </c>
      <c r="K42" s="54"/>
      <c r="L42" s="56">
        <f t="shared" si="0"/>
        <v>5.6000000000000085</v>
      </c>
      <c r="M42" s="56">
        <f t="shared" si="1"/>
        <v>-2.6000000000000085</v>
      </c>
    </row>
    <row r="43" spans="2:13" ht="16.5" customHeight="1">
      <c r="B43" s="28"/>
      <c r="C43" s="29" t="s">
        <v>0</v>
      </c>
      <c r="D43" s="11" t="s">
        <v>20</v>
      </c>
      <c r="E43" s="5" t="s">
        <v>0</v>
      </c>
      <c r="F43" s="55">
        <v>75.5</v>
      </c>
      <c r="G43" s="55"/>
      <c r="H43" s="55">
        <v>69.099999999999994</v>
      </c>
      <c r="I43" s="54"/>
      <c r="J43" s="159">
        <v>69.900000000000006</v>
      </c>
      <c r="K43" s="54"/>
      <c r="L43" s="56">
        <f t="shared" si="0"/>
        <v>-6.4000000000000057</v>
      </c>
      <c r="M43" s="56">
        <f t="shared" si="1"/>
        <v>0.80000000000001137</v>
      </c>
    </row>
    <row r="44" spans="2:13" ht="16.5" customHeight="1">
      <c r="B44" s="28"/>
      <c r="C44" s="29" t="s">
        <v>0</v>
      </c>
      <c r="D44" s="11" t="s">
        <v>21</v>
      </c>
      <c r="E44" s="5" t="s">
        <v>0</v>
      </c>
      <c r="F44" s="55">
        <v>54.3</v>
      </c>
      <c r="G44" s="55"/>
      <c r="H44" s="55">
        <v>52.8</v>
      </c>
      <c r="I44" s="54"/>
      <c r="J44" s="159">
        <v>58.4</v>
      </c>
      <c r="K44" s="54"/>
      <c r="L44" s="56">
        <f t="shared" si="0"/>
        <v>-1.5</v>
      </c>
      <c r="M44" s="56">
        <f t="shared" si="1"/>
        <v>5.6000000000000014</v>
      </c>
    </row>
    <row r="45" spans="2:13" ht="16.5" customHeight="1">
      <c r="B45" s="28"/>
      <c r="C45" s="275" t="s">
        <v>168</v>
      </c>
      <c r="D45" s="275"/>
      <c r="E45" s="4" t="s">
        <v>0</v>
      </c>
      <c r="F45" s="52">
        <v>44.9</v>
      </c>
      <c r="G45" s="50"/>
      <c r="H45" s="52">
        <v>40.6</v>
      </c>
      <c r="I45" s="50"/>
      <c r="J45" s="158">
        <v>38.200000000000003</v>
      </c>
      <c r="K45" s="50"/>
      <c r="L45" s="53">
        <f t="shared" si="0"/>
        <v>-4.2999999999999972</v>
      </c>
      <c r="M45" s="53">
        <f t="shared" si="1"/>
        <v>-2.3999999999999986</v>
      </c>
    </row>
    <row r="46" spans="2:13" ht="16.5" customHeight="1">
      <c r="B46" s="28"/>
      <c r="C46" s="29" t="s">
        <v>0</v>
      </c>
      <c r="D46" s="11" t="s">
        <v>23</v>
      </c>
      <c r="E46" s="5" t="s">
        <v>0</v>
      </c>
      <c r="F46" s="55">
        <v>37.6</v>
      </c>
      <c r="G46" s="55"/>
      <c r="H46" s="55">
        <v>34.5</v>
      </c>
      <c r="I46" s="54"/>
      <c r="J46" s="159">
        <v>31.7</v>
      </c>
      <c r="K46" s="54"/>
      <c r="L46" s="56">
        <f t="shared" si="0"/>
        <v>-3.1000000000000014</v>
      </c>
      <c r="M46" s="56">
        <f t="shared" si="1"/>
        <v>-2.8000000000000007</v>
      </c>
    </row>
    <row r="47" spans="2:13" ht="16.5" customHeight="1">
      <c r="B47" s="28"/>
      <c r="C47" s="29" t="s">
        <v>0</v>
      </c>
      <c r="D47" s="11" t="s">
        <v>35</v>
      </c>
      <c r="E47" s="5" t="s">
        <v>0</v>
      </c>
      <c r="F47" s="55">
        <v>57.1</v>
      </c>
      <c r="G47" s="55"/>
      <c r="H47" s="57">
        <v>55.2</v>
      </c>
      <c r="I47" s="54"/>
      <c r="J47" s="160">
        <v>53.9</v>
      </c>
      <c r="K47" s="54"/>
      <c r="L47" s="56">
        <f t="shared" si="0"/>
        <v>-1.8999999999999986</v>
      </c>
      <c r="M47" s="56">
        <f t="shared" si="1"/>
        <v>-1.3000000000000043</v>
      </c>
    </row>
    <row r="48" spans="2:13" ht="16.5" customHeight="1">
      <c r="B48" s="28"/>
      <c r="C48" s="29"/>
      <c r="D48" s="11" t="s">
        <v>36</v>
      </c>
      <c r="E48" s="5"/>
      <c r="F48" s="57">
        <v>50.8</v>
      </c>
      <c r="G48" s="57"/>
      <c r="H48" s="57">
        <v>44.4</v>
      </c>
      <c r="I48" s="56"/>
      <c r="J48" s="160">
        <v>43.7</v>
      </c>
      <c r="K48" s="56"/>
      <c r="L48" s="56">
        <f t="shared" si="0"/>
        <v>-6.3999999999999986</v>
      </c>
      <c r="M48" s="56">
        <f t="shared" si="1"/>
        <v>-0.69999999999999574</v>
      </c>
    </row>
    <row r="49" spans="2:13" ht="16.5" customHeight="1">
      <c r="B49" s="276" t="s">
        <v>169</v>
      </c>
      <c r="C49" s="276"/>
      <c r="D49" s="276"/>
      <c r="E49" s="4" t="s">
        <v>0</v>
      </c>
      <c r="F49" s="66">
        <v>0</v>
      </c>
      <c r="G49" s="52"/>
      <c r="H49" s="66">
        <v>0</v>
      </c>
      <c r="I49" s="50"/>
      <c r="J49" s="161">
        <v>0</v>
      </c>
      <c r="K49" s="50"/>
      <c r="L49" s="58">
        <f t="shared" si="0"/>
        <v>0</v>
      </c>
      <c r="M49" s="58">
        <f t="shared" si="1"/>
        <v>0</v>
      </c>
    </row>
    <row r="50" spans="2:13" ht="16.5" customHeight="1" thickBot="1">
      <c r="B50" s="277" t="s">
        <v>170</v>
      </c>
      <c r="C50" s="277"/>
      <c r="D50" s="277"/>
      <c r="E50" s="6" t="s">
        <v>0</v>
      </c>
      <c r="F50" s="61">
        <v>40.5</v>
      </c>
      <c r="G50" s="61"/>
      <c r="H50" s="61">
        <v>42.7</v>
      </c>
      <c r="I50" s="60"/>
      <c r="J50" s="162">
        <v>44.7</v>
      </c>
      <c r="K50" s="60"/>
      <c r="L50" s="60">
        <f t="shared" si="0"/>
        <v>2.2000000000000028</v>
      </c>
      <c r="M50" s="60">
        <f t="shared" si="1"/>
        <v>2</v>
      </c>
    </row>
    <row r="51" spans="2:13" ht="9" customHeight="1" thickTop="1">
      <c r="D51" s="7"/>
    </row>
    <row r="52" spans="2:13">
      <c r="D52" s="12" t="s">
        <v>337</v>
      </c>
    </row>
    <row r="53" spans="2:13">
      <c r="D53" s="37"/>
      <c r="E53" s="12"/>
    </row>
  </sheetData>
  <mergeCells count="19">
    <mergeCell ref="C15:D15"/>
    <mergeCell ref="B3:M3"/>
    <mergeCell ref="B4:M4"/>
    <mergeCell ref="B6:D6"/>
    <mergeCell ref="B7:D7"/>
    <mergeCell ref="B8:D8"/>
    <mergeCell ref="B9:D9"/>
    <mergeCell ref="C10:D10"/>
    <mergeCell ref="C41:D41"/>
    <mergeCell ref="C45:D45"/>
    <mergeCell ref="B49:D49"/>
    <mergeCell ref="B50:D50"/>
    <mergeCell ref="C21:D21"/>
    <mergeCell ref="B27:D27"/>
    <mergeCell ref="B30:D30"/>
    <mergeCell ref="B31:D31"/>
    <mergeCell ref="C32:D32"/>
    <mergeCell ref="C35:D35"/>
    <mergeCell ref="C26:D26"/>
  </mergeCells>
  <phoneticPr fontId="1" type="noConversion"/>
  <hyperlinks>
    <hyperlink ref="A1" location="목차!A1" display="(목차로 이동)" xr:uid="{00000000-0004-0000-0600-000000000000}"/>
  </hyperlinks>
  <pageMargins left="0.7" right="0.7" top="0.75" bottom="0.75" header="0.3" footer="0.3"/>
  <pageSetup paperSize="9" scale="86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ACB65-662B-40C2-B15D-FB09E41E82C6}">
  <sheetPr>
    <tabColor theme="5" tint="0.79998168889431442"/>
    <pageSetUpPr fitToPage="1"/>
  </sheetPr>
  <dimension ref="A1:Q47"/>
  <sheetViews>
    <sheetView view="pageBreakPreview" topLeftCell="A22" zoomScaleNormal="100" zoomScaleSheetLayoutView="100" workbookViewId="0">
      <selection activeCell="I34" sqref="I34"/>
    </sheetView>
  </sheetViews>
  <sheetFormatPr defaultRowHeight="16.5"/>
  <cols>
    <col min="1" max="1" width="2.625" customWidth="1"/>
    <col min="2" max="3" width="2.125" customWidth="1"/>
    <col min="4" max="4" width="26.625" customWidth="1"/>
    <col min="5" max="5" width="1.625" customWidth="1"/>
    <col min="6" max="7" width="8.625" customWidth="1"/>
    <col min="8" max="8" width="1.625" customWidth="1"/>
    <col min="9" max="10" width="8.625" customWidth="1"/>
    <col min="11" max="11" width="1.625" customWidth="1"/>
    <col min="12" max="13" width="8.625" customWidth="1"/>
    <col min="14" max="14" width="1.625" customWidth="1"/>
    <col min="15" max="16" width="8.625" customWidth="1"/>
  </cols>
  <sheetData>
    <row r="1" spans="1:16" ht="16.5" customHeight="1">
      <c r="A1" s="32" t="s">
        <v>46</v>
      </c>
    </row>
    <row r="2" spans="1:16" ht="6" customHeight="1">
      <c r="A2" s="32"/>
    </row>
    <row r="3" spans="1:16" ht="23.1" customHeight="1">
      <c r="B3" s="278" t="s">
        <v>327</v>
      </c>
      <c r="C3" s="278"/>
      <c r="D3" s="278"/>
      <c r="E3" s="278"/>
      <c r="F3" s="278"/>
      <c r="G3" s="278"/>
      <c r="H3" s="278"/>
      <c r="I3" s="278"/>
      <c r="J3" s="278"/>
      <c r="K3" s="278"/>
      <c r="L3" s="278"/>
      <c r="M3" s="278"/>
      <c r="N3" s="278"/>
      <c r="O3" s="278"/>
      <c r="P3" s="278"/>
    </row>
    <row r="4" spans="1:16" ht="18.75" customHeight="1">
      <c r="B4" s="280" t="s">
        <v>153</v>
      </c>
      <c r="C4" s="280"/>
      <c r="D4" s="280"/>
      <c r="E4" s="280"/>
      <c r="F4" s="280"/>
      <c r="G4" s="280"/>
      <c r="H4" s="280"/>
      <c r="I4" s="280"/>
      <c r="J4" s="280"/>
      <c r="K4" s="280"/>
      <c r="L4" s="280"/>
      <c r="M4" s="280"/>
      <c r="N4" s="280"/>
      <c r="O4" s="280"/>
      <c r="P4" s="280"/>
    </row>
    <row r="5" spans="1:16" ht="8.25" customHeight="1" thickBot="1">
      <c r="C5" s="25"/>
      <c r="D5" s="25"/>
    </row>
    <row r="6" spans="1:16" ht="17.25" thickTop="1">
      <c r="B6" s="69"/>
      <c r="C6" s="69"/>
      <c r="D6" s="69"/>
      <c r="E6" s="17"/>
      <c r="F6" s="282" t="s">
        <v>286</v>
      </c>
      <c r="G6" s="282"/>
      <c r="H6" s="3" t="s">
        <v>0</v>
      </c>
      <c r="I6" s="284" t="s">
        <v>249</v>
      </c>
      <c r="J6" s="284"/>
      <c r="K6" s="3" t="s">
        <v>0</v>
      </c>
      <c r="L6" s="285" t="s">
        <v>287</v>
      </c>
      <c r="M6" s="285"/>
      <c r="N6" s="3"/>
      <c r="O6" s="282" t="s">
        <v>40</v>
      </c>
      <c r="P6" s="282"/>
    </row>
    <row r="7" spans="1:16" ht="17.25" thickBot="1">
      <c r="B7" s="283" t="s">
        <v>0</v>
      </c>
      <c r="C7" s="283"/>
      <c r="D7" s="283"/>
      <c r="E7" s="16"/>
      <c r="F7" s="201" t="s">
        <v>41</v>
      </c>
      <c r="G7" s="201" t="s">
        <v>316</v>
      </c>
      <c r="H7" s="165"/>
      <c r="I7" s="202" t="s">
        <v>41</v>
      </c>
      <c r="J7" s="202" t="s">
        <v>317</v>
      </c>
      <c r="K7" s="165"/>
      <c r="L7" s="203" t="s">
        <v>41</v>
      </c>
      <c r="M7" s="203" t="s">
        <v>250</v>
      </c>
      <c r="N7" s="165"/>
      <c r="O7" s="201" t="s">
        <v>154</v>
      </c>
      <c r="P7" s="201" t="s">
        <v>155</v>
      </c>
    </row>
    <row r="8" spans="1:16" ht="16.5" customHeight="1" thickTop="1">
      <c r="B8" s="290" t="s">
        <v>295</v>
      </c>
      <c r="C8" s="290"/>
      <c r="D8" s="290"/>
      <c r="F8" s="53">
        <v>163.38</v>
      </c>
      <c r="G8" s="67">
        <v>24.5</v>
      </c>
      <c r="H8" s="68"/>
      <c r="I8" s="53">
        <v>183.87</v>
      </c>
      <c r="J8" s="67">
        <v>22.8</v>
      </c>
      <c r="K8" s="68"/>
      <c r="L8" s="166">
        <v>220.99</v>
      </c>
      <c r="M8" s="167">
        <v>22.4</v>
      </c>
      <c r="N8" s="68"/>
      <c r="O8" s="41">
        <f t="shared" ref="O8:O45" si="0">J8-G8</f>
        <v>-1.6999999999999993</v>
      </c>
      <c r="P8" s="41">
        <f t="shared" ref="P8:P45" si="1">M8-J8</f>
        <v>-0.40000000000000213</v>
      </c>
    </row>
    <row r="9" spans="1:16" ht="16.5" customHeight="1">
      <c r="B9" s="28"/>
      <c r="C9" s="291" t="s">
        <v>296</v>
      </c>
      <c r="D9" s="291"/>
      <c r="F9" s="53">
        <v>47.45</v>
      </c>
      <c r="G9" s="67">
        <v>7.1</v>
      </c>
      <c r="H9" s="68"/>
      <c r="I9" s="53">
        <v>62.85</v>
      </c>
      <c r="J9" s="67">
        <v>7.8</v>
      </c>
      <c r="K9" s="68"/>
      <c r="L9" s="166">
        <v>73.87</v>
      </c>
      <c r="M9" s="167">
        <v>7.5</v>
      </c>
      <c r="N9" s="68"/>
      <c r="O9" s="41">
        <f t="shared" si="0"/>
        <v>0.70000000000000018</v>
      </c>
      <c r="P9" s="41">
        <f t="shared" si="1"/>
        <v>-0.29999999999999982</v>
      </c>
    </row>
    <row r="10" spans="1:16" ht="16.5" customHeight="1">
      <c r="B10" s="28"/>
      <c r="C10" s="29" t="s">
        <v>0</v>
      </c>
      <c r="D10" s="204" t="s">
        <v>64</v>
      </c>
      <c r="F10" s="54">
        <v>19.18</v>
      </c>
      <c r="G10" s="62">
        <v>2.9</v>
      </c>
      <c r="H10" s="42"/>
      <c r="I10" s="54">
        <v>24.92</v>
      </c>
      <c r="J10" s="62">
        <v>3.1</v>
      </c>
      <c r="K10" s="42"/>
      <c r="L10" s="159">
        <v>24.14</v>
      </c>
      <c r="M10" s="168">
        <v>2.4</v>
      </c>
      <c r="N10" s="42"/>
      <c r="O10" s="43">
        <f t="shared" si="0"/>
        <v>0.20000000000000018</v>
      </c>
      <c r="P10" s="43">
        <f t="shared" si="1"/>
        <v>-0.70000000000000018</v>
      </c>
    </row>
    <row r="11" spans="1:16" ht="16.5" customHeight="1">
      <c r="B11" s="28"/>
      <c r="C11" s="29" t="s">
        <v>0</v>
      </c>
      <c r="D11" s="204" t="s">
        <v>25</v>
      </c>
      <c r="F11" s="54">
        <v>3.61</v>
      </c>
      <c r="G11" s="62">
        <v>0.5</v>
      </c>
      <c r="H11" s="42"/>
      <c r="I11" s="54">
        <v>5.27</v>
      </c>
      <c r="J11" s="62">
        <v>0.7</v>
      </c>
      <c r="K11" s="42"/>
      <c r="L11" s="159">
        <v>9.1300000000000008</v>
      </c>
      <c r="M11" s="168">
        <v>0.9</v>
      </c>
      <c r="N11" s="42"/>
      <c r="O11" s="43">
        <f t="shared" si="0"/>
        <v>0.19999999999999996</v>
      </c>
      <c r="P11" s="43">
        <f t="shared" si="1"/>
        <v>0.20000000000000007</v>
      </c>
    </row>
    <row r="12" spans="1:16" ht="16.5" customHeight="1">
      <c r="B12" s="28"/>
      <c r="C12" s="29" t="s">
        <v>0</v>
      </c>
      <c r="D12" s="204" t="s">
        <v>26</v>
      </c>
      <c r="F12" s="54">
        <v>1.38</v>
      </c>
      <c r="G12" s="62">
        <v>0.2</v>
      </c>
      <c r="H12" s="42"/>
      <c r="I12" s="54">
        <v>1.41</v>
      </c>
      <c r="J12" s="62">
        <v>0.2</v>
      </c>
      <c r="K12" s="42"/>
      <c r="L12" s="159">
        <v>2.5299999999999998</v>
      </c>
      <c r="M12" s="168">
        <v>0.3</v>
      </c>
      <c r="N12" s="42"/>
      <c r="O12" s="43">
        <f t="shared" si="0"/>
        <v>0</v>
      </c>
      <c r="P12" s="43">
        <f t="shared" si="1"/>
        <v>9.9999999999999978E-2</v>
      </c>
    </row>
    <row r="13" spans="1:16" ht="16.5" customHeight="1">
      <c r="B13" s="28"/>
      <c r="C13" s="29" t="s">
        <v>0</v>
      </c>
      <c r="D13" s="204" t="s">
        <v>27</v>
      </c>
      <c r="F13" s="54">
        <v>23.27</v>
      </c>
      <c r="G13" s="62">
        <v>3.5</v>
      </c>
      <c r="H13" s="42"/>
      <c r="I13" s="54">
        <v>31.25</v>
      </c>
      <c r="J13" s="62">
        <v>3.9</v>
      </c>
      <c r="K13" s="42"/>
      <c r="L13" s="159">
        <v>38.07</v>
      </c>
      <c r="M13" s="168">
        <v>3.9</v>
      </c>
      <c r="N13" s="42"/>
      <c r="O13" s="43">
        <f t="shared" si="0"/>
        <v>0.39999999999999991</v>
      </c>
      <c r="P13" s="43">
        <f t="shared" si="1"/>
        <v>0</v>
      </c>
    </row>
    <row r="14" spans="1:16" ht="16.5" customHeight="1">
      <c r="B14" s="28"/>
      <c r="C14" s="291" t="s">
        <v>297</v>
      </c>
      <c r="D14" s="291"/>
      <c r="F14" s="53">
        <v>115.93</v>
      </c>
      <c r="G14" s="67">
        <v>17.399999999999999</v>
      </c>
      <c r="H14" s="68"/>
      <c r="I14" s="53">
        <v>120.99</v>
      </c>
      <c r="J14" s="67">
        <v>15</v>
      </c>
      <c r="K14" s="68"/>
      <c r="L14" s="166">
        <v>147.13</v>
      </c>
      <c r="M14" s="167">
        <v>14.9</v>
      </c>
      <c r="N14" s="68"/>
      <c r="O14" s="41">
        <f t="shared" si="0"/>
        <v>-2.3999999999999986</v>
      </c>
      <c r="P14" s="41">
        <f t="shared" si="1"/>
        <v>-9.9999999999999645E-2</v>
      </c>
    </row>
    <row r="15" spans="1:16" ht="16.5" customHeight="1">
      <c r="B15" s="28"/>
      <c r="C15" s="29" t="s">
        <v>0</v>
      </c>
      <c r="D15" s="204" t="s">
        <v>5</v>
      </c>
      <c r="F15" s="54">
        <v>52.48</v>
      </c>
      <c r="G15" s="62">
        <v>7.9</v>
      </c>
      <c r="H15" s="42"/>
      <c r="I15" s="54">
        <v>56.76</v>
      </c>
      <c r="J15" s="62">
        <v>7</v>
      </c>
      <c r="K15" s="42"/>
      <c r="L15" s="159">
        <v>71.010000000000005</v>
      </c>
      <c r="M15" s="168">
        <v>7.2</v>
      </c>
      <c r="N15" s="42"/>
      <c r="O15" s="43">
        <f t="shared" si="0"/>
        <v>-0.90000000000000036</v>
      </c>
      <c r="P15" s="43">
        <f t="shared" si="1"/>
        <v>0.20000000000000018</v>
      </c>
    </row>
    <row r="16" spans="1:16" ht="16.5" customHeight="1">
      <c r="B16" s="28"/>
      <c r="C16" s="29" t="s">
        <v>0</v>
      </c>
      <c r="D16" s="204" t="s">
        <v>6</v>
      </c>
      <c r="F16" s="54">
        <v>26.67</v>
      </c>
      <c r="G16" s="62">
        <v>4</v>
      </c>
      <c r="H16" s="42"/>
      <c r="I16" s="54">
        <v>30.37</v>
      </c>
      <c r="J16" s="62">
        <v>3.8</v>
      </c>
      <c r="K16" s="42"/>
      <c r="L16" s="159">
        <v>32.92</v>
      </c>
      <c r="M16" s="168">
        <v>3.3</v>
      </c>
      <c r="N16" s="42"/>
      <c r="O16" s="43">
        <f t="shared" si="0"/>
        <v>-0.20000000000000018</v>
      </c>
      <c r="P16" s="43">
        <f t="shared" si="1"/>
        <v>-0.5</v>
      </c>
    </row>
    <row r="17" spans="2:16" ht="16.5" customHeight="1">
      <c r="B17" s="28"/>
      <c r="C17" s="29" t="s">
        <v>0</v>
      </c>
      <c r="D17" s="204" t="s">
        <v>298</v>
      </c>
      <c r="F17" s="54">
        <v>1.02</v>
      </c>
      <c r="G17" s="62">
        <v>0.2</v>
      </c>
      <c r="H17" s="42"/>
      <c r="I17" s="54">
        <v>1.57</v>
      </c>
      <c r="J17" s="62">
        <v>0.2</v>
      </c>
      <c r="K17" s="42"/>
      <c r="L17" s="159">
        <v>1.95</v>
      </c>
      <c r="M17" s="168">
        <v>0.2</v>
      </c>
      <c r="N17" s="42"/>
      <c r="O17" s="43">
        <f t="shared" si="0"/>
        <v>0</v>
      </c>
      <c r="P17" s="43">
        <f t="shared" si="1"/>
        <v>0</v>
      </c>
    </row>
    <row r="18" spans="2:16" ht="16.5" customHeight="1">
      <c r="B18" s="28"/>
      <c r="C18" s="29" t="s">
        <v>0</v>
      </c>
      <c r="D18" s="204" t="s">
        <v>9</v>
      </c>
      <c r="F18" s="54">
        <v>20.059999999999999</v>
      </c>
      <c r="G18" s="62">
        <v>3</v>
      </c>
      <c r="H18" s="42"/>
      <c r="I18" s="54">
        <v>14.74</v>
      </c>
      <c r="J18" s="62">
        <v>1.8</v>
      </c>
      <c r="K18" s="42"/>
      <c r="L18" s="159">
        <v>14.7</v>
      </c>
      <c r="M18" s="168">
        <v>1.5</v>
      </c>
      <c r="N18" s="42"/>
      <c r="O18" s="43">
        <f t="shared" si="0"/>
        <v>-1.2</v>
      </c>
      <c r="P18" s="43">
        <f t="shared" si="1"/>
        <v>-0.30000000000000004</v>
      </c>
    </row>
    <row r="19" spans="2:16" ht="16.5" customHeight="1">
      <c r="B19" s="28"/>
      <c r="C19" s="29" t="s">
        <v>0</v>
      </c>
      <c r="D19" s="204" t="s">
        <v>10</v>
      </c>
      <c r="F19" s="54">
        <v>8.74</v>
      </c>
      <c r="G19" s="62">
        <v>1.3</v>
      </c>
      <c r="H19" s="42"/>
      <c r="I19" s="54">
        <v>8.6</v>
      </c>
      <c r="J19" s="62">
        <v>1.1000000000000001</v>
      </c>
      <c r="K19" s="42"/>
      <c r="L19" s="159">
        <v>14.36</v>
      </c>
      <c r="M19" s="168">
        <v>1.5</v>
      </c>
      <c r="N19" s="42"/>
      <c r="O19" s="43">
        <f t="shared" si="0"/>
        <v>-0.19999999999999996</v>
      </c>
      <c r="P19" s="43">
        <f t="shared" si="1"/>
        <v>0.39999999999999991</v>
      </c>
    </row>
    <row r="20" spans="2:16" ht="16.5" customHeight="1">
      <c r="B20" s="28"/>
      <c r="C20" s="29" t="s">
        <v>0</v>
      </c>
      <c r="D20" s="204" t="s">
        <v>11</v>
      </c>
      <c r="F20" s="54">
        <v>0.44</v>
      </c>
      <c r="G20" s="62">
        <v>0.1</v>
      </c>
      <c r="H20" s="42"/>
      <c r="I20" s="54">
        <v>0.46</v>
      </c>
      <c r="J20" s="62">
        <v>0.1</v>
      </c>
      <c r="K20" s="42"/>
      <c r="L20" s="159">
        <v>0.47</v>
      </c>
      <c r="M20" s="168">
        <v>0</v>
      </c>
      <c r="N20" s="42"/>
      <c r="O20" s="43">
        <f t="shared" si="0"/>
        <v>0</v>
      </c>
      <c r="P20" s="43">
        <f t="shared" si="1"/>
        <v>-0.1</v>
      </c>
    </row>
    <row r="21" spans="2:16" ht="16.5" customHeight="1">
      <c r="B21" s="28"/>
      <c r="C21" s="29" t="s">
        <v>0</v>
      </c>
      <c r="D21" s="30" t="s">
        <v>299</v>
      </c>
      <c r="F21" s="54">
        <v>0.03</v>
      </c>
      <c r="G21" s="62">
        <v>0</v>
      </c>
      <c r="H21" s="42"/>
      <c r="I21" s="54">
        <v>0.02</v>
      </c>
      <c r="J21" s="62">
        <v>0</v>
      </c>
      <c r="K21" s="42"/>
      <c r="L21" s="159">
        <v>0.02</v>
      </c>
      <c r="M21" s="168">
        <v>0</v>
      </c>
      <c r="N21" s="42"/>
      <c r="O21" s="43">
        <f t="shared" si="0"/>
        <v>0</v>
      </c>
      <c r="P21" s="43">
        <f t="shared" si="1"/>
        <v>0</v>
      </c>
    </row>
    <row r="22" spans="2:16" ht="16.5" customHeight="1">
      <c r="B22" s="28"/>
      <c r="C22" s="29" t="s">
        <v>0</v>
      </c>
      <c r="D22" s="204" t="s">
        <v>24</v>
      </c>
      <c r="F22" s="54">
        <v>1.1399999999999999</v>
      </c>
      <c r="G22" s="62">
        <v>0.2</v>
      </c>
      <c r="H22" s="42"/>
      <c r="I22" s="54">
        <v>1.32</v>
      </c>
      <c r="J22" s="62">
        <v>0.2</v>
      </c>
      <c r="K22" s="42"/>
      <c r="L22" s="159">
        <v>1.69</v>
      </c>
      <c r="M22" s="168">
        <v>0.2</v>
      </c>
      <c r="N22" s="42"/>
      <c r="O22" s="43">
        <f t="shared" si="0"/>
        <v>0</v>
      </c>
      <c r="P22" s="43">
        <f t="shared" si="1"/>
        <v>0</v>
      </c>
    </row>
    <row r="23" spans="2:16" ht="16.5" customHeight="1">
      <c r="B23" s="28"/>
      <c r="C23" s="29" t="s">
        <v>0</v>
      </c>
      <c r="D23" s="204" t="s">
        <v>215</v>
      </c>
      <c r="F23" s="54">
        <v>5.3</v>
      </c>
      <c r="G23" s="62">
        <v>0.8</v>
      </c>
      <c r="H23" s="42"/>
      <c r="I23" s="54">
        <v>7.15</v>
      </c>
      <c r="J23" s="62">
        <v>0.9</v>
      </c>
      <c r="K23" s="42"/>
      <c r="L23" s="159">
        <v>9.98</v>
      </c>
      <c r="M23" s="168">
        <v>1</v>
      </c>
      <c r="N23" s="42"/>
      <c r="O23" s="43">
        <f t="shared" si="0"/>
        <v>9.9999999999999978E-2</v>
      </c>
      <c r="P23" s="43">
        <f t="shared" si="1"/>
        <v>9.9999999999999978E-2</v>
      </c>
    </row>
    <row r="24" spans="2:16" ht="16.5" customHeight="1">
      <c r="B24" s="28"/>
      <c r="C24" s="29"/>
      <c r="D24" s="204" t="s">
        <v>300</v>
      </c>
      <c r="F24" s="54">
        <v>0.04</v>
      </c>
      <c r="G24" s="62">
        <v>0</v>
      </c>
      <c r="H24" s="42"/>
      <c r="I24" s="54">
        <v>0.03</v>
      </c>
      <c r="J24" s="62">
        <v>0</v>
      </c>
      <c r="K24" s="42"/>
      <c r="L24" s="159">
        <v>0.03</v>
      </c>
      <c r="M24" s="168">
        <v>0</v>
      </c>
      <c r="N24" s="42"/>
      <c r="O24" s="43">
        <f t="shared" si="0"/>
        <v>0</v>
      </c>
      <c r="P24" s="43">
        <f t="shared" si="1"/>
        <v>0</v>
      </c>
    </row>
    <row r="25" spans="2:16" ht="16.5" customHeight="1">
      <c r="B25" s="291" t="s">
        <v>301</v>
      </c>
      <c r="C25" s="291"/>
      <c r="D25" s="291"/>
      <c r="F25" s="53">
        <v>466.41</v>
      </c>
      <c r="G25" s="67">
        <v>69.8</v>
      </c>
      <c r="H25" s="68"/>
      <c r="I25" s="206">
        <v>584.66999999999996</v>
      </c>
      <c r="J25" s="67">
        <v>72.5</v>
      </c>
      <c r="K25" s="68"/>
      <c r="L25" s="166">
        <v>723.5</v>
      </c>
      <c r="M25" s="167">
        <v>73.400000000000006</v>
      </c>
      <c r="N25" s="68"/>
      <c r="O25" s="41">
        <f t="shared" si="0"/>
        <v>2.7000000000000028</v>
      </c>
      <c r="P25" s="41">
        <f t="shared" si="1"/>
        <v>0.90000000000000568</v>
      </c>
    </row>
    <row r="26" spans="2:16" ht="16.5" customHeight="1">
      <c r="B26" s="28"/>
      <c r="C26" s="29" t="s">
        <v>0</v>
      </c>
      <c r="D26" s="204" t="s">
        <v>28</v>
      </c>
      <c r="F26" s="54">
        <v>63.55</v>
      </c>
      <c r="G26" s="62">
        <v>9.5</v>
      </c>
      <c r="H26" s="42"/>
      <c r="I26" s="54">
        <v>78.97</v>
      </c>
      <c r="J26" s="62">
        <v>9.8000000000000007</v>
      </c>
      <c r="K26" s="42"/>
      <c r="L26" s="159">
        <v>121.01</v>
      </c>
      <c r="M26" s="168">
        <v>12.3</v>
      </c>
      <c r="N26" s="42"/>
      <c r="O26" s="43">
        <f t="shared" si="0"/>
        <v>0.30000000000000071</v>
      </c>
      <c r="P26" s="43">
        <f t="shared" si="1"/>
        <v>2.5</v>
      </c>
    </row>
    <row r="27" spans="2:16" ht="16.5" customHeight="1">
      <c r="B27" s="28"/>
      <c r="C27" s="29" t="s">
        <v>0</v>
      </c>
      <c r="D27" s="204" t="s">
        <v>17</v>
      </c>
      <c r="F27" s="54">
        <v>23.72</v>
      </c>
      <c r="G27" s="62">
        <v>3.6</v>
      </c>
      <c r="H27" s="42"/>
      <c r="I27" s="54">
        <v>25.87</v>
      </c>
      <c r="J27" s="62">
        <v>3.2</v>
      </c>
      <c r="K27" s="42"/>
      <c r="L27" s="159">
        <v>25.21</v>
      </c>
      <c r="M27" s="168">
        <v>2.6</v>
      </c>
      <c r="N27" s="42"/>
      <c r="O27" s="43">
        <f t="shared" si="0"/>
        <v>-0.39999999999999991</v>
      </c>
      <c r="P27" s="43">
        <f t="shared" si="1"/>
        <v>-0.60000000000000009</v>
      </c>
    </row>
    <row r="28" spans="2:16" ht="16.5" customHeight="1">
      <c r="B28" s="28"/>
      <c r="C28" s="29" t="s">
        <v>0</v>
      </c>
      <c r="D28" s="204" t="s">
        <v>23</v>
      </c>
      <c r="F28" s="54">
        <v>59.2</v>
      </c>
      <c r="G28" s="62">
        <v>8.9</v>
      </c>
      <c r="H28" s="42"/>
      <c r="I28" s="54">
        <v>82.83</v>
      </c>
      <c r="J28" s="62">
        <v>10.3</v>
      </c>
      <c r="K28" s="42"/>
      <c r="L28" s="159">
        <v>104.11</v>
      </c>
      <c r="M28" s="168">
        <v>10.6</v>
      </c>
      <c r="N28" s="42"/>
      <c r="O28" s="43">
        <f t="shared" si="0"/>
        <v>1.4000000000000004</v>
      </c>
      <c r="P28" s="43">
        <f t="shared" si="1"/>
        <v>0.29999999999999893</v>
      </c>
    </row>
    <row r="29" spans="2:16" ht="16.5" customHeight="1">
      <c r="B29" s="28"/>
      <c r="C29" s="29" t="s">
        <v>0</v>
      </c>
      <c r="D29" s="204" t="s">
        <v>29</v>
      </c>
      <c r="F29" s="54">
        <v>28.8</v>
      </c>
      <c r="G29" s="62">
        <v>4.3</v>
      </c>
      <c r="H29" s="42"/>
      <c r="I29" s="54">
        <v>32.54</v>
      </c>
      <c r="J29" s="62">
        <v>4</v>
      </c>
      <c r="K29" s="42"/>
      <c r="L29" s="159">
        <v>45.7</v>
      </c>
      <c r="M29" s="168">
        <v>4.5999999999999996</v>
      </c>
      <c r="N29" s="42"/>
      <c r="O29" s="43">
        <f t="shared" si="0"/>
        <v>-0.29999999999999982</v>
      </c>
      <c r="P29" s="43">
        <f t="shared" si="1"/>
        <v>0.59999999999999964</v>
      </c>
    </row>
    <row r="30" spans="2:16" ht="16.5" customHeight="1">
      <c r="B30" s="28"/>
      <c r="C30" s="29" t="s">
        <v>0</v>
      </c>
      <c r="D30" s="204" t="s">
        <v>30</v>
      </c>
      <c r="F30" s="54">
        <v>52.76</v>
      </c>
      <c r="G30" s="62">
        <v>7.9</v>
      </c>
      <c r="H30" s="42"/>
      <c r="I30" s="54">
        <v>65.540000000000006</v>
      </c>
      <c r="J30" s="62">
        <v>8.1</v>
      </c>
      <c r="K30" s="42"/>
      <c r="L30" s="159">
        <v>68.81</v>
      </c>
      <c r="M30" s="168">
        <v>7</v>
      </c>
      <c r="N30" s="42"/>
      <c r="O30" s="43">
        <f t="shared" si="0"/>
        <v>0.19999999999999929</v>
      </c>
      <c r="P30" s="43">
        <f t="shared" si="1"/>
        <v>-1.0999999999999996</v>
      </c>
    </row>
    <row r="31" spans="2:16" ht="16.5" customHeight="1">
      <c r="B31" s="28"/>
      <c r="C31" s="29" t="s">
        <v>0</v>
      </c>
      <c r="D31" s="204" t="s">
        <v>31</v>
      </c>
      <c r="F31" s="54">
        <v>90.08</v>
      </c>
      <c r="G31" s="62">
        <v>13.5</v>
      </c>
      <c r="H31" s="42"/>
      <c r="I31" s="54">
        <v>114.78</v>
      </c>
      <c r="J31" s="62">
        <v>14.2</v>
      </c>
      <c r="K31" s="42"/>
      <c r="L31" s="159">
        <v>146.57</v>
      </c>
      <c r="M31" s="168">
        <v>14.9</v>
      </c>
      <c r="N31" s="42"/>
      <c r="O31" s="43">
        <f t="shared" si="0"/>
        <v>0.69999999999999929</v>
      </c>
      <c r="P31" s="43">
        <f t="shared" si="1"/>
        <v>0.70000000000000107</v>
      </c>
    </row>
    <row r="32" spans="2:16" ht="16.5" customHeight="1">
      <c r="B32" s="28"/>
      <c r="C32" s="29" t="s">
        <v>0</v>
      </c>
      <c r="D32" s="204" t="s">
        <v>32</v>
      </c>
      <c r="F32" s="54">
        <v>1.95</v>
      </c>
      <c r="G32" s="62">
        <v>0.3</v>
      </c>
      <c r="H32" s="42"/>
      <c r="I32" s="54">
        <v>3.14</v>
      </c>
      <c r="J32" s="62">
        <v>0.4</v>
      </c>
      <c r="K32" s="42"/>
      <c r="L32" s="159">
        <v>4.9800000000000004</v>
      </c>
      <c r="M32" s="168">
        <v>0.5</v>
      </c>
      <c r="N32" s="42"/>
      <c r="O32" s="43">
        <f t="shared" si="0"/>
        <v>0.10000000000000003</v>
      </c>
      <c r="P32" s="43">
        <f t="shared" si="1"/>
        <v>9.9999999999999978E-2</v>
      </c>
    </row>
    <row r="33" spans="2:17" ht="16.5" customHeight="1">
      <c r="B33" s="28"/>
      <c r="C33" s="29" t="s">
        <v>0</v>
      </c>
      <c r="D33" s="204" t="s">
        <v>33</v>
      </c>
      <c r="F33" s="54">
        <v>5.33</v>
      </c>
      <c r="G33" s="62">
        <v>0.8</v>
      </c>
      <c r="H33" s="42"/>
      <c r="I33" s="55">
        <v>3.9</v>
      </c>
      <c r="J33" s="62">
        <v>0.5</v>
      </c>
      <c r="K33" s="42"/>
      <c r="L33" s="159">
        <v>6.07</v>
      </c>
      <c r="M33" s="168">
        <v>0.6</v>
      </c>
      <c r="N33" s="42"/>
      <c r="O33" s="43">
        <f t="shared" si="0"/>
        <v>-0.30000000000000004</v>
      </c>
      <c r="P33" s="43">
        <f t="shared" si="1"/>
        <v>9.9999999999999978E-2</v>
      </c>
    </row>
    <row r="34" spans="2:17" ht="16.5" customHeight="1">
      <c r="B34" s="28"/>
      <c r="C34" s="29" t="s">
        <v>0</v>
      </c>
      <c r="D34" s="204" t="s">
        <v>34</v>
      </c>
      <c r="F34" s="55">
        <v>0.89</v>
      </c>
      <c r="G34" s="62">
        <v>0.1</v>
      </c>
      <c r="H34" s="42"/>
      <c r="I34" s="55">
        <v>1.35</v>
      </c>
      <c r="J34" s="62">
        <v>0.2</v>
      </c>
      <c r="K34" s="42"/>
      <c r="L34" s="159">
        <v>3.44</v>
      </c>
      <c r="M34" s="168">
        <v>0.3</v>
      </c>
      <c r="N34" s="42"/>
      <c r="O34" s="43">
        <f t="shared" si="0"/>
        <v>0.1</v>
      </c>
      <c r="P34" s="43">
        <f t="shared" si="1"/>
        <v>9.9999999999999978E-2</v>
      </c>
    </row>
    <row r="35" spans="2:17" ht="16.5" customHeight="1">
      <c r="B35" s="28"/>
      <c r="C35" s="29" t="s">
        <v>0</v>
      </c>
      <c r="D35" s="204" t="s">
        <v>302</v>
      </c>
      <c r="F35" s="55">
        <v>53.31</v>
      </c>
      <c r="G35" s="62">
        <v>8</v>
      </c>
      <c r="H35" s="42"/>
      <c r="I35" s="55">
        <v>56.02</v>
      </c>
      <c r="J35" s="62">
        <v>6.9</v>
      </c>
      <c r="K35" s="42"/>
      <c r="L35" s="159">
        <v>53.63</v>
      </c>
      <c r="M35" s="168">
        <v>5.4</v>
      </c>
      <c r="N35" s="42"/>
      <c r="O35" s="43">
        <f t="shared" si="0"/>
        <v>-1.0999999999999996</v>
      </c>
      <c r="P35" s="43">
        <f t="shared" si="1"/>
        <v>-1.5</v>
      </c>
    </row>
    <row r="36" spans="2:17" ht="16.5" customHeight="1">
      <c r="B36" s="28"/>
      <c r="C36" s="29" t="s">
        <v>0</v>
      </c>
      <c r="D36" s="204" t="s">
        <v>303</v>
      </c>
      <c r="F36" s="55">
        <v>31.48</v>
      </c>
      <c r="G36" s="62">
        <v>4.7</v>
      </c>
      <c r="H36" s="42"/>
      <c r="I36" s="55">
        <v>46</v>
      </c>
      <c r="J36" s="62">
        <v>5.7</v>
      </c>
      <c r="K36" s="42"/>
      <c r="L36" s="159">
        <v>62.67</v>
      </c>
      <c r="M36" s="168">
        <v>6.4</v>
      </c>
      <c r="N36" s="42"/>
      <c r="O36" s="43">
        <f t="shared" si="0"/>
        <v>1</v>
      </c>
      <c r="P36" s="43">
        <f t="shared" si="1"/>
        <v>0.70000000000000018</v>
      </c>
    </row>
    <row r="37" spans="2:17" ht="16.5" customHeight="1">
      <c r="B37" s="28"/>
      <c r="C37" s="29" t="s">
        <v>0</v>
      </c>
      <c r="D37" s="204" t="s">
        <v>35</v>
      </c>
      <c r="F37" s="55">
        <v>25.37</v>
      </c>
      <c r="G37" s="62">
        <v>3.8</v>
      </c>
      <c r="H37" s="42"/>
      <c r="I37" s="55">
        <v>33.51</v>
      </c>
      <c r="J37" s="62">
        <v>4.2</v>
      </c>
      <c r="K37" s="42"/>
      <c r="L37" s="159">
        <v>30.48</v>
      </c>
      <c r="M37" s="168">
        <v>3.1</v>
      </c>
      <c r="N37" s="42"/>
      <c r="O37" s="43">
        <f t="shared" si="0"/>
        <v>0.40000000000000036</v>
      </c>
      <c r="P37" s="43">
        <f t="shared" si="1"/>
        <v>-1.1000000000000001</v>
      </c>
    </row>
    <row r="38" spans="2:17" ht="16.5" customHeight="1">
      <c r="B38" s="28"/>
      <c r="C38" s="29"/>
      <c r="D38" s="204" t="s">
        <v>36</v>
      </c>
      <c r="F38" s="54">
        <v>29.96</v>
      </c>
      <c r="G38" s="62">
        <v>4.5</v>
      </c>
      <c r="H38" s="42"/>
      <c r="I38" s="55">
        <v>40.21</v>
      </c>
      <c r="J38" s="62">
        <v>5</v>
      </c>
      <c r="K38" s="42"/>
      <c r="L38" s="159">
        <v>50.82</v>
      </c>
      <c r="M38" s="168">
        <v>5.2</v>
      </c>
      <c r="N38" s="42"/>
      <c r="O38" s="43">
        <f t="shared" si="0"/>
        <v>0.5</v>
      </c>
      <c r="P38" s="43">
        <f t="shared" si="1"/>
        <v>0.20000000000000018</v>
      </c>
    </row>
    <row r="39" spans="2:17" ht="16.5" customHeight="1">
      <c r="B39" s="291" t="s">
        <v>304</v>
      </c>
      <c r="C39" s="291"/>
      <c r="D39" s="291"/>
      <c r="F39" s="53">
        <v>38.340000000000003</v>
      </c>
      <c r="G39" s="67">
        <v>5.7</v>
      </c>
      <c r="H39" s="68"/>
      <c r="I39" s="53">
        <v>37.880000000000003</v>
      </c>
      <c r="J39" s="67">
        <v>4.7</v>
      </c>
      <c r="K39" s="68"/>
      <c r="L39" s="166">
        <v>41.26</v>
      </c>
      <c r="M39" s="167">
        <v>4.2</v>
      </c>
      <c r="N39" s="68"/>
      <c r="O39" s="41">
        <f t="shared" si="0"/>
        <v>-1</v>
      </c>
      <c r="P39" s="41">
        <f t="shared" si="1"/>
        <v>-0.5</v>
      </c>
    </row>
    <row r="40" spans="2:17" ht="16.5" customHeight="1">
      <c r="B40" s="28"/>
      <c r="C40" s="29" t="s">
        <v>0</v>
      </c>
      <c r="D40" s="204" t="s">
        <v>305</v>
      </c>
      <c r="F40" s="54">
        <v>15.85</v>
      </c>
      <c r="G40" s="62">
        <v>2.4</v>
      </c>
      <c r="H40" s="42"/>
      <c r="I40" s="54">
        <v>17.010000000000002</v>
      </c>
      <c r="J40" s="62">
        <v>2.1</v>
      </c>
      <c r="K40" s="42"/>
      <c r="L40" s="159">
        <v>17.940000000000001</v>
      </c>
      <c r="M40" s="168">
        <v>1.8</v>
      </c>
      <c r="N40" s="42"/>
      <c r="O40" s="43">
        <f t="shared" si="0"/>
        <v>-0.29999999999999982</v>
      </c>
      <c r="P40" s="43">
        <f t="shared" si="1"/>
        <v>-0.30000000000000004</v>
      </c>
    </row>
    <row r="41" spans="2:17" ht="16.5" customHeight="1">
      <c r="B41" s="28"/>
      <c r="C41" s="29" t="s">
        <v>0</v>
      </c>
      <c r="D41" s="204" t="s">
        <v>306</v>
      </c>
      <c r="F41" s="54">
        <v>0.01</v>
      </c>
      <c r="G41" s="62">
        <v>0</v>
      </c>
      <c r="H41" s="42"/>
      <c r="I41" s="54">
        <v>0.01</v>
      </c>
      <c r="J41" s="62">
        <v>0</v>
      </c>
      <c r="K41" s="42"/>
      <c r="L41" s="159">
        <v>0.02</v>
      </c>
      <c r="M41" s="168">
        <v>0</v>
      </c>
      <c r="N41" s="42"/>
      <c r="O41" s="43">
        <f t="shared" si="0"/>
        <v>0</v>
      </c>
      <c r="P41" s="43">
        <f t="shared" si="1"/>
        <v>0</v>
      </c>
    </row>
    <row r="42" spans="2:17" ht="16.5" customHeight="1">
      <c r="B42" s="28"/>
      <c r="C42" s="29" t="s">
        <v>0</v>
      </c>
      <c r="D42" s="204" t="s">
        <v>307</v>
      </c>
      <c r="F42" s="54">
        <v>18.89</v>
      </c>
      <c r="G42" s="62">
        <v>2.8</v>
      </c>
      <c r="H42" s="42"/>
      <c r="I42" s="54">
        <v>17.760000000000002</v>
      </c>
      <c r="J42" s="62">
        <v>2.2000000000000002</v>
      </c>
      <c r="K42" s="42"/>
      <c r="L42" s="159">
        <v>18.510000000000002</v>
      </c>
      <c r="M42" s="168">
        <v>1.9</v>
      </c>
      <c r="N42" s="42"/>
      <c r="O42" s="43">
        <f t="shared" si="0"/>
        <v>-0.59999999999999964</v>
      </c>
      <c r="P42" s="43">
        <f t="shared" si="1"/>
        <v>-0.30000000000000027</v>
      </c>
    </row>
    <row r="43" spans="2:17" ht="16.5" customHeight="1">
      <c r="B43" s="28"/>
      <c r="C43" s="29" t="s">
        <v>0</v>
      </c>
      <c r="D43" s="204" t="s">
        <v>308</v>
      </c>
      <c r="F43" s="54">
        <v>3.58</v>
      </c>
      <c r="G43" s="62">
        <v>0.5</v>
      </c>
      <c r="H43" s="42"/>
      <c r="I43" s="54">
        <v>3.42</v>
      </c>
      <c r="J43" s="62">
        <v>0.4</v>
      </c>
      <c r="K43" s="42"/>
      <c r="L43" s="159">
        <v>5.15</v>
      </c>
      <c r="M43" s="168">
        <v>0.5</v>
      </c>
      <c r="N43" s="42"/>
      <c r="O43" s="43">
        <f t="shared" si="0"/>
        <v>-9.9999999999999978E-2</v>
      </c>
      <c r="P43" s="43">
        <f t="shared" si="1"/>
        <v>9.9999999999999978E-2</v>
      </c>
    </row>
    <row r="44" spans="2:17" ht="16.5" customHeight="1">
      <c r="B44" s="28"/>
      <c r="C44" s="29"/>
      <c r="D44" s="204" t="s">
        <v>328</v>
      </c>
      <c r="F44" s="58">
        <v>0</v>
      </c>
      <c r="G44" s="65">
        <v>0</v>
      </c>
      <c r="H44" s="68"/>
      <c r="I44" s="58">
        <v>-0.32</v>
      </c>
      <c r="J44" s="65">
        <v>0</v>
      </c>
      <c r="K44" s="68"/>
      <c r="L44" s="161">
        <v>-0.36</v>
      </c>
      <c r="M44" s="169">
        <v>0</v>
      </c>
      <c r="N44" s="68"/>
      <c r="O44" s="45">
        <f t="shared" si="0"/>
        <v>0</v>
      </c>
      <c r="P44" s="45">
        <f t="shared" si="1"/>
        <v>0</v>
      </c>
      <c r="Q44" s="10"/>
    </row>
    <row r="45" spans="2:17" ht="16.5" customHeight="1" thickBot="1">
      <c r="B45" s="289" t="s">
        <v>309</v>
      </c>
      <c r="C45" s="289"/>
      <c r="D45" s="289"/>
      <c r="E45" s="25"/>
      <c r="F45" s="60">
        <v>668.14</v>
      </c>
      <c r="G45" s="61">
        <v>100</v>
      </c>
      <c r="H45" s="205"/>
      <c r="I45" s="61">
        <v>806.41</v>
      </c>
      <c r="J45" s="60">
        <v>100</v>
      </c>
      <c r="K45" s="205"/>
      <c r="L45" s="162">
        <v>985.75</v>
      </c>
      <c r="M45" s="162">
        <v>100</v>
      </c>
      <c r="N45" s="205"/>
      <c r="O45" s="95">
        <f t="shared" si="0"/>
        <v>0</v>
      </c>
      <c r="P45" s="95">
        <f t="shared" si="1"/>
        <v>0</v>
      </c>
      <c r="Q45" s="206"/>
    </row>
    <row r="46" spans="2:17" ht="9" customHeight="1" thickTop="1">
      <c r="B46" s="207"/>
      <c r="C46" s="207"/>
      <c r="D46" s="207"/>
    </row>
    <row r="47" spans="2:17">
      <c r="B47" s="8"/>
      <c r="D47" s="208"/>
    </row>
  </sheetData>
  <mergeCells count="13">
    <mergeCell ref="B45:D45"/>
    <mergeCell ref="B7:D7"/>
    <mergeCell ref="B8:D8"/>
    <mergeCell ref="C9:D9"/>
    <mergeCell ref="C14:D14"/>
    <mergeCell ref="B25:D25"/>
    <mergeCell ref="B39:D39"/>
    <mergeCell ref="B3:P3"/>
    <mergeCell ref="B4:P4"/>
    <mergeCell ref="F6:G6"/>
    <mergeCell ref="I6:J6"/>
    <mergeCell ref="L6:M6"/>
    <mergeCell ref="O6:P6"/>
  </mergeCells>
  <phoneticPr fontId="1" type="noConversion"/>
  <hyperlinks>
    <hyperlink ref="A1" location="목차!A1" display="(목차로 이동)" xr:uid="{2F440082-008A-484A-8ACE-6EEE4D852F4E}"/>
  </hyperlinks>
  <pageMargins left="0.7" right="0.7" top="0.75" bottom="0.75" header="0.3" footer="0.3"/>
  <pageSetup paperSize="9" scale="75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08DEE-E3EC-4D93-87D4-EE3B2B546A89}">
  <sheetPr>
    <tabColor theme="5" tint="0.79998168889431442"/>
    <pageSetUpPr fitToPage="1"/>
  </sheetPr>
  <dimension ref="A1:Q25"/>
  <sheetViews>
    <sheetView view="pageBreakPreview" zoomScaleNormal="100" zoomScaleSheetLayoutView="100" workbookViewId="0">
      <selection activeCell="M30" sqref="M30"/>
    </sheetView>
  </sheetViews>
  <sheetFormatPr defaultRowHeight="16.5"/>
  <cols>
    <col min="1" max="1" width="2.625" style="209" customWidth="1"/>
    <col min="2" max="3" width="2.125" style="209" customWidth="1"/>
    <col min="4" max="4" width="26.625" style="209" customWidth="1"/>
    <col min="5" max="5" width="1.625" style="209" customWidth="1"/>
    <col min="6" max="7" width="8.625" style="209" customWidth="1"/>
    <col min="8" max="8" width="1.625" style="209" customWidth="1"/>
    <col min="9" max="10" width="8.625" style="209" customWidth="1"/>
    <col min="11" max="11" width="1.625" style="209" customWidth="1"/>
    <col min="12" max="13" width="8.625" style="209" customWidth="1"/>
    <col min="14" max="14" width="1.625" style="209" customWidth="1"/>
    <col min="15" max="16" width="8.625" style="209" customWidth="1"/>
    <col min="17" max="16384" width="9" style="209"/>
  </cols>
  <sheetData>
    <row r="1" spans="1:17" ht="16.5" customHeight="1">
      <c r="A1" s="239" t="s">
        <v>46</v>
      </c>
    </row>
    <row r="2" spans="1:17" ht="6" customHeight="1">
      <c r="A2" s="239"/>
    </row>
    <row r="3" spans="1:17" ht="23.1" customHeight="1">
      <c r="B3" s="297" t="s">
        <v>334</v>
      </c>
      <c r="C3" s="297"/>
      <c r="D3" s="297"/>
      <c r="E3" s="297"/>
      <c r="F3" s="297"/>
      <c r="G3" s="297"/>
      <c r="H3" s="297"/>
      <c r="I3" s="297"/>
      <c r="J3" s="297"/>
      <c r="K3" s="297"/>
      <c r="L3" s="297"/>
      <c r="M3" s="297"/>
      <c r="N3" s="297"/>
      <c r="O3" s="297"/>
      <c r="P3" s="297"/>
    </row>
    <row r="4" spans="1:17" ht="18.75" customHeight="1">
      <c r="B4" s="298" t="s">
        <v>153</v>
      </c>
      <c r="C4" s="298"/>
      <c r="D4" s="298"/>
      <c r="E4" s="298"/>
      <c r="F4" s="298"/>
      <c r="G4" s="298"/>
      <c r="H4" s="298"/>
      <c r="I4" s="298"/>
      <c r="J4" s="298"/>
      <c r="K4" s="298"/>
      <c r="L4" s="298"/>
      <c r="M4" s="298"/>
      <c r="N4" s="298"/>
      <c r="O4" s="298"/>
      <c r="P4" s="298"/>
    </row>
    <row r="5" spans="1:17" ht="8.25" customHeight="1" thickBot="1">
      <c r="C5" s="216"/>
      <c r="D5" s="216"/>
    </row>
    <row r="6" spans="1:17" ht="17.25" thickTop="1">
      <c r="B6" s="238"/>
      <c r="C6" s="238"/>
      <c r="D6" s="238"/>
      <c r="E6" s="237"/>
      <c r="F6" s="282" t="s">
        <v>286</v>
      </c>
      <c r="G6" s="282"/>
      <c r="H6" s="3" t="s">
        <v>0</v>
      </c>
      <c r="I6" s="284" t="s">
        <v>249</v>
      </c>
      <c r="J6" s="284"/>
      <c r="K6" s="3" t="s">
        <v>0</v>
      </c>
      <c r="L6" s="285" t="s">
        <v>287</v>
      </c>
      <c r="M6" s="285"/>
      <c r="N6" s="3"/>
      <c r="O6" s="282" t="s">
        <v>40</v>
      </c>
      <c r="P6" s="282"/>
    </row>
    <row r="7" spans="1:17" ht="17.25" thickBot="1">
      <c r="B7" s="293" t="s">
        <v>0</v>
      </c>
      <c r="C7" s="293"/>
      <c r="D7" s="293"/>
      <c r="E7" s="236"/>
      <c r="F7" s="201" t="s">
        <v>41</v>
      </c>
      <c r="G7" s="201" t="s">
        <v>316</v>
      </c>
      <c r="H7" s="165"/>
      <c r="I7" s="202" t="s">
        <v>41</v>
      </c>
      <c r="J7" s="202" t="s">
        <v>317</v>
      </c>
      <c r="K7" s="165"/>
      <c r="L7" s="203" t="s">
        <v>41</v>
      </c>
      <c r="M7" s="203" t="s">
        <v>250</v>
      </c>
      <c r="N7" s="165"/>
      <c r="O7" s="201" t="s">
        <v>154</v>
      </c>
      <c r="P7" s="201" t="s">
        <v>155</v>
      </c>
    </row>
    <row r="8" spans="1:17" ht="16.5" customHeight="1" thickTop="1">
      <c r="B8" s="294" t="s">
        <v>315</v>
      </c>
      <c r="C8" s="294"/>
      <c r="D8" s="294"/>
      <c r="F8" s="235">
        <v>118.35</v>
      </c>
      <c r="G8" s="234">
        <v>29.4</v>
      </c>
      <c r="H8" s="218"/>
      <c r="I8" s="235">
        <v>133.62</v>
      </c>
      <c r="J8" s="234">
        <v>27.6</v>
      </c>
      <c r="K8" s="218"/>
      <c r="L8" s="233">
        <v>178.46</v>
      </c>
      <c r="M8" s="232">
        <v>27.8</v>
      </c>
      <c r="N8" s="218"/>
      <c r="O8" s="231">
        <f t="shared" ref="O8:O22" si="0">J8-G8</f>
        <v>-1.7999999999999972</v>
      </c>
      <c r="P8" s="231">
        <f t="shared" ref="P8:P22" si="1">M8-J8</f>
        <v>0.19999999999999929</v>
      </c>
      <c r="Q8" s="274"/>
    </row>
    <row r="9" spans="1:17" ht="16.5" customHeight="1">
      <c r="B9" s="230" t="s">
        <v>0</v>
      </c>
      <c r="D9" s="229" t="s">
        <v>314</v>
      </c>
      <c r="F9" s="228">
        <v>0.14000000000000001</v>
      </c>
      <c r="G9" s="227">
        <v>0</v>
      </c>
      <c r="H9" s="224"/>
      <c r="I9" s="228">
        <v>0.15</v>
      </c>
      <c r="J9" s="227">
        <v>0</v>
      </c>
      <c r="K9" s="224"/>
      <c r="L9" s="226">
        <v>0.21</v>
      </c>
      <c r="M9" s="225">
        <v>0</v>
      </c>
      <c r="N9" s="224"/>
      <c r="O9" s="223">
        <f t="shared" si="0"/>
        <v>0</v>
      </c>
      <c r="P9" s="223">
        <f t="shared" si="1"/>
        <v>0</v>
      </c>
      <c r="Q9" s="274"/>
    </row>
    <row r="10" spans="1:17" ht="16.5" customHeight="1">
      <c r="B10" s="230" t="s">
        <v>0</v>
      </c>
      <c r="D10" s="229" t="s">
        <v>24</v>
      </c>
      <c r="F10" s="228">
        <v>5.09</v>
      </c>
      <c r="G10" s="227">
        <v>1.3</v>
      </c>
      <c r="H10" s="224"/>
      <c r="I10" s="228">
        <v>6.24</v>
      </c>
      <c r="J10" s="227">
        <v>1.3</v>
      </c>
      <c r="K10" s="224"/>
      <c r="L10" s="226">
        <v>7.06</v>
      </c>
      <c r="M10" s="225">
        <v>1.1000000000000001</v>
      </c>
      <c r="N10" s="224"/>
      <c r="O10" s="223">
        <f t="shared" si="0"/>
        <v>0</v>
      </c>
      <c r="P10" s="223">
        <f t="shared" si="1"/>
        <v>-0.19999999999999996</v>
      </c>
      <c r="Q10" s="274"/>
    </row>
    <row r="11" spans="1:17" ht="16.5" customHeight="1">
      <c r="B11" s="230" t="s">
        <v>0</v>
      </c>
      <c r="D11" s="229" t="s">
        <v>64</v>
      </c>
      <c r="F11" s="228">
        <v>19.190000000000001</v>
      </c>
      <c r="G11" s="227">
        <v>4.8</v>
      </c>
      <c r="H11" s="224"/>
      <c r="I11" s="228">
        <v>24.49</v>
      </c>
      <c r="J11" s="227">
        <v>5.0999999999999996</v>
      </c>
      <c r="K11" s="224"/>
      <c r="L11" s="226">
        <v>31.84</v>
      </c>
      <c r="M11" s="225">
        <v>5</v>
      </c>
      <c r="N11" s="224"/>
      <c r="O11" s="223">
        <f t="shared" si="0"/>
        <v>0.29999999999999982</v>
      </c>
      <c r="P11" s="223">
        <f t="shared" si="1"/>
        <v>-9.9999999999999645E-2</v>
      </c>
      <c r="Q11" s="274"/>
    </row>
    <row r="12" spans="1:17" ht="16.5" customHeight="1">
      <c r="B12" s="230" t="s">
        <v>0</v>
      </c>
      <c r="D12" s="229" t="s">
        <v>25</v>
      </c>
      <c r="F12" s="228">
        <v>10</v>
      </c>
      <c r="G12" s="227">
        <v>2.5</v>
      </c>
      <c r="H12" s="224"/>
      <c r="I12" s="228">
        <v>11.1</v>
      </c>
      <c r="J12" s="227">
        <v>2.2999999999999998</v>
      </c>
      <c r="K12" s="224"/>
      <c r="L12" s="226">
        <v>12.68</v>
      </c>
      <c r="M12" s="225">
        <v>2</v>
      </c>
      <c r="N12" s="224"/>
      <c r="O12" s="223">
        <f t="shared" si="0"/>
        <v>-0.20000000000000018</v>
      </c>
      <c r="P12" s="223">
        <f t="shared" si="1"/>
        <v>-0.29999999999999982</v>
      </c>
      <c r="Q12" s="274"/>
    </row>
    <row r="13" spans="1:17" ht="16.5" customHeight="1">
      <c r="B13" s="230" t="s">
        <v>0</v>
      </c>
      <c r="D13" s="229" t="s">
        <v>26</v>
      </c>
      <c r="F13" s="228">
        <v>51.93</v>
      </c>
      <c r="G13" s="227">
        <v>12.9</v>
      </c>
      <c r="H13" s="224"/>
      <c r="I13" s="228">
        <v>53.49</v>
      </c>
      <c r="J13" s="227">
        <v>11.1</v>
      </c>
      <c r="K13" s="224"/>
      <c r="L13" s="226">
        <v>75.39</v>
      </c>
      <c r="M13" s="225">
        <v>11.8</v>
      </c>
      <c r="N13" s="224"/>
      <c r="O13" s="223">
        <f t="shared" si="0"/>
        <v>-1.8000000000000007</v>
      </c>
      <c r="P13" s="223">
        <f t="shared" si="1"/>
        <v>0.70000000000000107</v>
      </c>
      <c r="Q13" s="274"/>
    </row>
    <row r="14" spans="1:17" ht="16.5" customHeight="1">
      <c r="B14" s="230" t="s">
        <v>0</v>
      </c>
      <c r="D14" s="229" t="s">
        <v>27</v>
      </c>
      <c r="F14" s="228">
        <v>30.19</v>
      </c>
      <c r="G14" s="227">
        <v>7.5</v>
      </c>
      <c r="H14" s="224"/>
      <c r="I14" s="228">
        <v>35.06</v>
      </c>
      <c r="J14" s="227">
        <v>7.3</v>
      </c>
      <c r="K14" s="224"/>
      <c r="L14" s="226">
        <v>46.98</v>
      </c>
      <c r="M14" s="225">
        <v>7.3</v>
      </c>
      <c r="N14" s="224"/>
      <c r="O14" s="223">
        <f t="shared" si="0"/>
        <v>-0.20000000000000018</v>
      </c>
      <c r="P14" s="223">
        <f t="shared" si="1"/>
        <v>0</v>
      </c>
      <c r="Q14" s="274"/>
    </row>
    <row r="15" spans="1:17" ht="16.5" customHeight="1">
      <c r="B15" s="230" t="s">
        <v>0</v>
      </c>
      <c r="D15" s="229" t="s">
        <v>335</v>
      </c>
      <c r="F15" s="228">
        <v>1.81</v>
      </c>
      <c r="G15" s="227">
        <v>0.4</v>
      </c>
      <c r="H15" s="224"/>
      <c r="I15" s="228">
        <v>3.1</v>
      </c>
      <c r="J15" s="227">
        <v>0.6</v>
      </c>
      <c r="K15" s="224"/>
      <c r="L15" s="226">
        <v>4.3</v>
      </c>
      <c r="M15" s="225">
        <v>0.7</v>
      </c>
      <c r="N15" s="224"/>
      <c r="O15" s="223">
        <f t="shared" si="0"/>
        <v>0.19999999999999996</v>
      </c>
      <c r="P15" s="223">
        <f t="shared" si="1"/>
        <v>9.9999999999999978E-2</v>
      </c>
      <c r="Q15" s="274"/>
    </row>
    <row r="16" spans="1:17" ht="16.5" customHeight="1">
      <c r="B16" s="295" t="s">
        <v>313</v>
      </c>
      <c r="C16" s="295"/>
      <c r="D16" s="295"/>
      <c r="F16" s="235">
        <v>183.49</v>
      </c>
      <c r="G16" s="234">
        <v>45.6</v>
      </c>
      <c r="H16" s="218"/>
      <c r="I16" s="235">
        <v>213.49</v>
      </c>
      <c r="J16" s="234">
        <v>44.2</v>
      </c>
      <c r="K16" s="218"/>
      <c r="L16" s="233">
        <v>261.16000000000003</v>
      </c>
      <c r="M16" s="232">
        <v>40.700000000000003</v>
      </c>
      <c r="N16" s="218"/>
      <c r="O16" s="231">
        <f t="shared" si="0"/>
        <v>-1.3999999999999986</v>
      </c>
      <c r="P16" s="231">
        <f t="shared" si="1"/>
        <v>-3.5</v>
      </c>
      <c r="Q16" s="274"/>
    </row>
    <row r="17" spans="2:17" ht="16.5" customHeight="1">
      <c r="B17" s="295" t="s">
        <v>312</v>
      </c>
      <c r="C17" s="295"/>
      <c r="D17" s="295"/>
      <c r="F17" s="235">
        <v>69.38</v>
      </c>
      <c r="G17" s="234">
        <v>17.2</v>
      </c>
      <c r="H17" s="218"/>
      <c r="I17" s="235">
        <v>97.86</v>
      </c>
      <c r="J17" s="234">
        <v>20.2</v>
      </c>
      <c r="K17" s="218"/>
      <c r="L17" s="233">
        <v>129.30000000000001</v>
      </c>
      <c r="M17" s="232">
        <v>20.2</v>
      </c>
      <c r="N17" s="218"/>
      <c r="O17" s="231">
        <f t="shared" si="0"/>
        <v>3</v>
      </c>
      <c r="P17" s="231">
        <f t="shared" si="1"/>
        <v>0</v>
      </c>
      <c r="Q17" s="274"/>
    </row>
    <row r="18" spans="2:17" ht="16.5" customHeight="1">
      <c r="B18" s="230" t="s">
        <v>0</v>
      </c>
      <c r="D18" s="229" t="s">
        <v>311</v>
      </c>
      <c r="F18" s="228">
        <v>22.15</v>
      </c>
      <c r="G18" s="227">
        <v>5.5</v>
      </c>
      <c r="H18" s="224"/>
      <c r="I18" s="228">
        <v>28.33</v>
      </c>
      <c r="J18" s="227">
        <v>5.9</v>
      </c>
      <c r="K18" s="224"/>
      <c r="L18" s="226">
        <v>33.28</v>
      </c>
      <c r="M18" s="225">
        <v>5.2</v>
      </c>
      <c r="N18" s="224"/>
      <c r="O18" s="223">
        <f t="shared" si="0"/>
        <v>0.40000000000000036</v>
      </c>
      <c r="P18" s="223">
        <f t="shared" si="1"/>
        <v>-0.70000000000000018</v>
      </c>
      <c r="Q18" s="274"/>
    </row>
    <row r="19" spans="2:17" ht="16.5" customHeight="1">
      <c r="B19" s="230" t="s">
        <v>0</v>
      </c>
      <c r="D19" s="229" t="s">
        <v>310</v>
      </c>
      <c r="F19" s="228">
        <v>46.61</v>
      </c>
      <c r="G19" s="227">
        <v>11.6</v>
      </c>
      <c r="H19" s="224"/>
      <c r="I19" s="228">
        <v>69.05</v>
      </c>
      <c r="J19" s="227">
        <v>14.3</v>
      </c>
      <c r="K19" s="224"/>
      <c r="L19" s="226">
        <v>95.37</v>
      </c>
      <c r="M19" s="225">
        <v>14.9</v>
      </c>
      <c r="N19" s="224"/>
      <c r="O19" s="223">
        <f t="shared" si="0"/>
        <v>2.7000000000000011</v>
      </c>
      <c r="P19" s="223">
        <f t="shared" si="1"/>
        <v>0.59999999999999964</v>
      </c>
      <c r="Q19" s="274"/>
    </row>
    <row r="20" spans="2:17" ht="16.5" customHeight="1">
      <c r="B20" s="230" t="s">
        <v>0</v>
      </c>
      <c r="D20" s="229" t="s">
        <v>35</v>
      </c>
      <c r="F20" s="228">
        <v>0.61</v>
      </c>
      <c r="G20" s="227">
        <v>0.2</v>
      </c>
      <c r="H20" s="224"/>
      <c r="I20" s="228">
        <v>0.48</v>
      </c>
      <c r="J20" s="227">
        <v>0.1</v>
      </c>
      <c r="K20" s="224"/>
      <c r="L20" s="226">
        <v>0.65</v>
      </c>
      <c r="M20" s="225">
        <v>0.1</v>
      </c>
      <c r="N20" s="224"/>
      <c r="O20" s="223">
        <f t="shared" si="0"/>
        <v>-0.1</v>
      </c>
      <c r="P20" s="223">
        <f t="shared" si="1"/>
        <v>0</v>
      </c>
      <c r="Q20" s="274"/>
    </row>
    <row r="21" spans="2:17" ht="16.5" customHeight="1">
      <c r="B21" s="296" t="s">
        <v>67</v>
      </c>
      <c r="C21" s="296"/>
      <c r="D21" s="296"/>
      <c r="F21" s="222">
        <v>31.43</v>
      </c>
      <c r="G21" s="221">
        <v>7.8</v>
      </c>
      <c r="H21" s="218"/>
      <c r="I21" s="222">
        <v>38.54</v>
      </c>
      <c r="J21" s="221">
        <v>8</v>
      </c>
      <c r="K21" s="218"/>
      <c r="L21" s="220">
        <v>72.040000000000006</v>
      </c>
      <c r="M21" s="219">
        <v>11.2</v>
      </c>
      <c r="N21" s="218"/>
      <c r="O21" s="217">
        <f t="shared" si="0"/>
        <v>0.20000000000000018</v>
      </c>
      <c r="P21" s="217">
        <f t="shared" si="1"/>
        <v>3.1999999999999993</v>
      </c>
      <c r="Q21" s="274"/>
    </row>
    <row r="22" spans="2:17" ht="16.5" customHeight="1" thickBot="1">
      <c r="B22" s="292" t="s">
        <v>309</v>
      </c>
      <c r="C22" s="292"/>
      <c r="D22" s="292"/>
      <c r="E22" s="216"/>
      <c r="F22" s="214">
        <v>402.64</v>
      </c>
      <c r="G22" s="215">
        <v>100</v>
      </c>
      <c r="H22" s="212"/>
      <c r="I22" s="215">
        <v>483.51</v>
      </c>
      <c r="J22" s="214">
        <v>100</v>
      </c>
      <c r="K22" s="212"/>
      <c r="L22" s="213">
        <v>640.95000000000005</v>
      </c>
      <c r="M22" s="213">
        <v>100</v>
      </c>
      <c r="N22" s="212"/>
      <c r="O22" s="211">
        <f t="shared" si="0"/>
        <v>0</v>
      </c>
      <c r="P22" s="211">
        <f t="shared" si="1"/>
        <v>0</v>
      </c>
    </row>
    <row r="23" spans="2:17" ht="6.75" customHeight="1" thickTop="1"/>
    <row r="24" spans="2:17">
      <c r="D24" s="210" t="s">
        <v>333</v>
      </c>
    </row>
    <row r="25" spans="2:17">
      <c r="D25" s="210" t="s">
        <v>336</v>
      </c>
    </row>
  </sheetData>
  <mergeCells count="12">
    <mergeCell ref="B3:P3"/>
    <mergeCell ref="B4:P4"/>
    <mergeCell ref="F6:G6"/>
    <mergeCell ref="I6:J6"/>
    <mergeCell ref="L6:M6"/>
    <mergeCell ref="O6:P6"/>
    <mergeCell ref="B22:D22"/>
    <mergeCell ref="B7:D7"/>
    <mergeCell ref="B8:D8"/>
    <mergeCell ref="B16:D16"/>
    <mergeCell ref="B17:D17"/>
    <mergeCell ref="B21:D21"/>
  </mergeCells>
  <phoneticPr fontId="1" type="noConversion"/>
  <hyperlinks>
    <hyperlink ref="A1" location="목차!A1" display="(목차로 이동)" xr:uid="{711444F0-8426-46A4-881F-6C60D8A2D6F6}"/>
  </hyperlinks>
  <pageMargins left="0.7" right="0.7" top="0.75" bottom="0.75" header="0.3" footer="0.3"/>
  <pageSetup paperSize="9" scale="75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5" tint="0.79998168889431442"/>
    <pageSetUpPr fitToPage="1"/>
  </sheetPr>
  <dimension ref="A1:Q54"/>
  <sheetViews>
    <sheetView view="pageBreakPreview" topLeftCell="A25" zoomScaleNormal="100" zoomScaleSheetLayoutView="100" workbookViewId="0">
      <selection activeCell="O58" sqref="O58"/>
    </sheetView>
  </sheetViews>
  <sheetFormatPr defaultRowHeight="16.5"/>
  <cols>
    <col min="1" max="1" width="2.625" customWidth="1"/>
    <col min="2" max="2" width="2.125" style="23" customWidth="1"/>
    <col min="3" max="3" width="2.125" style="35" customWidth="1"/>
    <col min="4" max="4" width="26.625" style="35" customWidth="1"/>
    <col min="5" max="5" width="1.625" customWidth="1"/>
    <col min="6" max="6" width="8.625" style="23" customWidth="1"/>
    <col min="7" max="7" width="8.625" customWidth="1"/>
    <col min="8" max="8" width="1.625" customWidth="1"/>
    <col min="9" max="10" width="8.625" customWidth="1"/>
    <col min="11" max="11" width="1.625" customWidth="1"/>
    <col min="12" max="13" width="8.625" customWidth="1"/>
    <col min="14" max="14" width="1.625" customWidth="1"/>
    <col min="15" max="16" width="8.625" customWidth="1"/>
  </cols>
  <sheetData>
    <row r="1" spans="1:17">
      <c r="A1" s="32" t="s">
        <v>46</v>
      </c>
    </row>
    <row r="2" spans="1:17" ht="6" customHeight="1">
      <c r="A2" s="32"/>
    </row>
    <row r="3" spans="1:17" ht="23.1" customHeight="1">
      <c r="A3" s="32"/>
      <c r="B3" s="278" t="s">
        <v>180</v>
      </c>
      <c r="C3" s="278"/>
      <c r="D3" s="278"/>
      <c r="E3" s="278"/>
      <c r="F3" s="278"/>
      <c r="G3" s="278"/>
      <c r="H3" s="278"/>
      <c r="I3" s="278"/>
      <c r="J3" s="278"/>
      <c r="K3" s="278"/>
      <c r="L3" s="278"/>
      <c r="M3" s="278"/>
      <c r="N3" s="278"/>
      <c r="O3" s="278"/>
      <c r="P3" s="278"/>
      <c r="Q3" s="34"/>
    </row>
    <row r="4" spans="1:17" ht="18.75" customHeight="1">
      <c r="A4" s="32"/>
      <c r="B4" s="280" t="s">
        <v>47</v>
      </c>
      <c r="C4" s="280"/>
      <c r="D4" s="280"/>
      <c r="E4" s="280"/>
      <c r="F4" s="280"/>
      <c r="G4" s="280"/>
      <c r="H4" s="280"/>
      <c r="I4" s="280"/>
      <c r="J4" s="280"/>
      <c r="K4" s="280"/>
      <c r="L4" s="280"/>
      <c r="M4" s="280"/>
      <c r="N4" s="280"/>
      <c r="O4" s="280"/>
      <c r="P4" s="280"/>
      <c r="Q4" s="47"/>
    </row>
    <row r="5" spans="1:17" ht="8.25" customHeight="1" thickBot="1">
      <c r="B5" s="14"/>
      <c r="C5" s="14"/>
      <c r="D5" s="14"/>
    </row>
    <row r="6" spans="1:17" ht="17.25" thickTop="1">
      <c r="B6" s="69"/>
      <c r="C6" s="69"/>
      <c r="D6" s="69"/>
      <c r="E6" s="131"/>
      <c r="F6" s="299" t="s">
        <v>286</v>
      </c>
      <c r="G6" s="299"/>
      <c r="H6" s="170"/>
      <c r="I6" s="300" t="s">
        <v>289</v>
      </c>
      <c r="J6" s="300"/>
      <c r="K6" s="170"/>
      <c r="L6" s="301" t="s">
        <v>287</v>
      </c>
      <c r="M6" s="301"/>
      <c r="N6" s="170"/>
      <c r="O6" s="299" t="s">
        <v>45</v>
      </c>
      <c r="P6" s="299"/>
    </row>
    <row r="7" spans="1:17" ht="17.25" thickBot="1">
      <c r="B7" s="283" t="s">
        <v>0</v>
      </c>
      <c r="C7" s="283"/>
      <c r="D7" s="283"/>
      <c r="E7" s="26" t="s">
        <v>0</v>
      </c>
      <c r="F7" s="155" t="s">
        <v>60</v>
      </c>
      <c r="G7" s="154" t="s">
        <v>61</v>
      </c>
      <c r="H7" s="26" t="s">
        <v>0</v>
      </c>
      <c r="I7" s="155" t="s">
        <v>255</v>
      </c>
      <c r="J7" s="155" t="s">
        <v>256</v>
      </c>
      <c r="K7" s="26" t="s">
        <v>0</v>
      </c>
      <c r="L7" s="156" t="s">
        <v>257</v>
      </c>
      <c r="M7" s="156" t="s">
        <v>258</v>
      </c>
      <c r="N7" s="26" t="s">
        <v>0</v>
      </c>
      <c r="O7" s="154" t="s">
        <v>62</v>
      </c>
      <c r="P7" s="154" t="s">
        <v>63</v>
      </c>
    </row>
    <row r="8" spans="1:17" ht="16.5" customHeight="1" thickTop="1">
      <c r="B8" s="281" t="s">
        <v>1</v>
      </c>
      <c r="C8" s="281"/>
      <c r="D8" s="281"/>
      <c r="E8" s="4" t="s">
        <v>0</v>
      </c>
      <c r="F8" s="206">
        <v>1.4</v>
      </c>
      <c r="G8" s="67">
        <v>0.12</v>
      </c>
      <c r="H8" s="4"/>
      <c r="I8" s="53">
        <v>1.1000000000000001</v>
      </c>
      <c r="J8" s="67">
        <v>0.1</v>
      </c>
      <c r="K8" s="4"/>
      <c r="L8" s="166">
        <v>1.7</v>
      </c>
      <c r="M8" s="167">
        <v>0.15</v>
      </c>
      <c r="N8" s="68"/>
      <c r="O8" s="41">
        <f t="shared" ref="O8:O51" si="0">L8-I8</f>
        <v>0.59999999999999987</v>
      </c>
      <c r="P8" s="41">
        <f t="shared" ref="P8:P51" si="1">M8-J8</f>
        <v>4.9999999999999989E-2</v>
      </c>
    </row>
    <row r="9" spans="1:17" ht="16.5" customHeight="1">
      <c r="B9" s="275" t="s">
        <v>2</v>
      </c>
      <c r="C9" s="275"/>
      <c r="D9" s="275"/>
      <c r="E9" s="4" t="s">
        <v>0</v>
      </c>
      <c r="F9" s="206">
        <v>4</v>
      </c>
      <c r="G9" s="67">
        <v>0.02</v>
      </c>
      <c r="H9" s="4"/>
      <c r="I9" s="53">
        <v>3.1</v>
      </c>
      <c r="J9" s="67">
        <v>0.02</v>
      </c>
      <c r="K9" s="4"/>
      <c r="L9" s="166">
        <v>3</v>
      </c>
      <c r="M9" s="167">
        <v>0.02</v>
      </c>
      <c r="N9" s="68"/>
      <c r="O9" s="41">
        <f t="shared" si="0"/>
        <v>-0.10000000000000009</v>
      </c>
      <c r="P9" s="41">
        <f t="shared" si="1"/>
        <v>0</v>
      </c>
    </row>
    <row r="10" spans="1:17" ht="16.5" customHeight="1">
      <c r="B10" s="275" t="s">
        <v>57</v>
      </c>
      <c r="C10" s="275"/>
      <c r="D10" s="275"/>
      <c r="E10" s="4" t="s">
        <v>0</v>
      </c>
      <c r="F10" s="206">
        <v>35.5</v>
      </c>
      <c r="G10" s="67">
        <v>85.9</v>
      </c>
      <c r="H10" s="4"/>
      <c r="I10" s="53">
        <v>35.799999999999997</v>
      </c>
      <c r="J10" s="67">
        <v>85.17</v>
      </c>
      <c r="K10" s="4"/>
      <c r="L10" s="166">
        <v>32.200000000000003</v>
      </c>
      <c r="M10" s="167">
        <v>82.11</v>
      </c>
      <c r="N10" s="68"/>
      <c r="O10" s="41">
        <f t="shared" si="0"/>
        <v>-3.5999999999999943</v>
      </c>
      <c r="P10" s="41">
        <f t="shared" si="1"/>
        <v>-3.0600000000000023</v>
      </c>
    </row>
    <row r="11" spans="1:17" ht="16.5" customHeight="1">
      <c r="B11" s="28"/>
      <c r="C11" s="275" t="s">
        <v>56</v>
      </c>
      <c r="D11" s="275"/>
      <c r="E11" s="4" t="s">
        <v>0</v>
      </c>
      <c r="F11" s="206">
        <v>15.2</v>
      </c>
      <c r="G11" s="67">
        <v>5.23</v>
      </c>
      <c r="H11" s="4"/>
      <c r="I11" s="53">
        <v>18.5</v>
      </c>
      <c r="J11" s="67">
        <v>6.84</v>
      </c>
      <c r="K11" s="4"/>
      <c r="L11" s="166">
        <v>11</v>
      </c>
      <c r="M11" s="167">
        <v>4.32</v>
      </c>
      <c r="N11" s="68"/>
      <c r="O11" s="41">
        <f t="shared" si="0"/>
        <v>-7.5</v>
      </c>
      <c r="P11" s="41">
        <f t="shared" si="1"/>
        <v>-2.5199999999999996</v>
      </c>
    </row>
    <row r="12" spans="1:17" ht="16.5" customHeight="1">
      <c r="B12" s="28"/>
      <c r="C12" s="29" t="s">
        <v>0</v>
      </c>
      <c r="D12" s="11" t="s">
        <v>5</v>
      </c>
      <c r="E12" s="5" t="s">
        <v>0</v>
      </c>
      <c r="F12" s="55">
        <v>6.7</v>
      </c>
      <c r="G12" s="62">
        <v>1.01</v>
      </c>
      <c r="H12" s="42"/>
      <c r="I12" s="54">
        <v>6.2</v>
      </c>
      <c r="J12" s="62">
        <v>1.05</v>
      </c>
      <c r="K12" s="42"/>
      <c r="L12" s="159">
        <v>6.4</v>
      </c>
      <c r="M12" s="168">
        <v>1.31</v>
      </c>
      <c r="N12" s="42"/>
      <c r="O12" s="43">
        <f t="shared" si="0"/>
        <v>0.20000000000000018</v>
      </c>
      <c r="P12" s="43">
        <f t="shared" si="1"/>
        <v>0.26</v>
      </c>
    </row>
    <row r="13" spans="1:17" ht="16.5" customHeight="1">
      <c r="B13" s="28"/>
      <c r="C13" s="29" t="s">
        <v>0</v>
      </c>
      <c r="D13" s="11" t="s">
        <v>6</v>
      </c>
      <c r="E13" s="5" t="s">
        <v>0</v>
      </c>
      <c r="F13" s="55">
        <v>31.4</v>
      </c>
      <c r="G13" s="62">
        <v>3.31</v>
      </c>
      <c r="H13" s="42"/>
      <c r="I13" s="54">
        <v>44.2</v>
      </c>
      <c r="J13" s="62">
        <v>4.8899999999999997</v>
      </c>
      <c r="K13" s="42"/>
      <c r="L13" s="159">
        <v>23.3</v>
      </c>
      <c r="M13" s="168">
        <v>2.0099999999999998</v>
      </c>
      <c r="N13" s="42"/>
      <c r="O13" s="43">
        <f t="shared" si="0"/>
        <v>-20.900000000000002</v>
      </c>
      <c r="P13" s="43">
        <f t="shared" si="1"/>
        <v>-2.88</v>
      </c>
    </row>
    <row r="14" spans="1:17" ht="16.5" customHeight="1">
      <c r="B14" s="28"/>
      <c r="C14" s="29" t="s">
        <v>0</v>
      </c>
      <c r="D14" s="11" t="s">
        <v>7</v>
      </c>
      <c r="E14" s="5" t="s">
        <v>0</v>
      </c>
      <c r="F14" s="55">
        <v>9</v>
      </c>
      <c r="G14" s="62">
        <v>0.56000000000000005</v>
      </c>
      <c r="H14" s="42"/>
      <c r="I14" s="54">
        <v>8.4</v>
      </c>
      <c r="J14" s="62">
        <v>0.5</v>
      </c>
      <c r="K14" s="42"/>
      <c r="L14" s="159">
        <v>8.1</v>
      </c>
      <c r="M14" s="168">
        <v>0.54</v>
      </c>
      <c r="N14" s="42"/>
      <c r="O14" s="43">
        <f t="shared" si="0"/>
        <v>-0.30000000000000071</v>
      </c>
      <c r="P14" s="43">
        <f t="shared" si="1"/>
        <v>4.0000000000000036E-2</v>
      </c>
    </row>
    <row r="15" spans="1:17" ht="16.5" customHeight="1">
      <c r="B15" s="28"/>
      <c r="C15" s="29" t="s">
        <v>0</v>
      </c>
      <c r="D15" s="11" t="s">
        <v>215</v>
      </c>
      <c r="E15" s="5" t="s">
        <v>0</v>
      </c>
      <c r="F15" s="55">
        <v>13.3</v>
      </c>
      <c r="G15" s="62">
        <v>0.35</v>
      </c>
      <c r="H15" s="42"/>
      <c r="I15" s="54">
        <v>14.2</v>
      </c>
      <c r="J15" s="62">
        <v>0.4</v>
      </c>
      <c r="K15" s="42"/>
      <c r="L15" s="159">
        <v>12.5</v>
      </c>
      <c r="M15" s="168">
        <v>0.46</v>
      </c>
      <c r="N15" s="42"/>
      <c r="O15" s="43">
        <f t="shared" si="0"/>
        <v>-1.6999999999999993</v>
      </c>
      <c r="P15" s="43">
        <f t="shared" si="1"/>
        <v>0.06</v>
      </c>
    </row>
    <row r="16" spans="1:17" ht="16.5" customHeight="1">
      <c r="B16" s="28"/>
      <c r="C16" s="275" t="s">
        <v>55</v>
      </c>
      <c r="D16" s="275"/>
      <c r="E16" s="4" t="s">
        <v>0</v>
      </c>
      <c r="F16" s="206">
        <v>27</v>
      </c>
      <c r="G16" s="67">
        <v>25.44</v>
      </c>
      <c r="H16" s="4"/>
      <c r="I16" s="53">
        <v>28.6</v>
      </c>
      <c r="J16" s="67">
        <v>24.75</v>
      </c>
      <c r="K16" s="4"/>
      <c r="L16" s="166">
        <v>28.8</v>
      </c>
      <c r="M16" s="167">
        <v>26.41</v>
      </c>
      <c r="N16" s="68"/>
      <c r="O16" s="41">
        <f t="shared" si="0"/>
        <v>0.19999999999999929</v>
      </c>
      <c r="P16" s="41">
        <f t="shared" si="1"/>
        <v>1.6600000000000001</v>
      </c>
    </row>
    <row r="17" spans="2:16" ht="16.5" customHeight="1">
      <c r="B17" s="28"/>
      <c r="C17" s="29" t="s">
        <v>0</v>
      </c>
      <c r="D17" s="11" t="s">
        <v>9</v>
      </c>
      <c r="E17" s="5" t="s">
        <v>0</v>
      </c>
      <c r="F17" s="55">
        <v>34.299999999999997</v>
      </c>
      <c r="G17" s="62">
        <v>6.47</v>
      </c>
      <c r="H17" s="42"/>
      <c r="I17" s="54">
        <v>36.6</v>
      </c>
      <c r="J17" s="62">
        <v>5.62</v>
      </c>
      <c r="K17" s="42"/>
      <c r="L17" s="159">
        <v>33.799999999999997</v>
      </c>
      <c r="M17" s="168">
        <v>4.5599999999999996</v>
      </c>
      <c r="N17" s="42"/>
      <c r="O17" s="43">
        <f t="shared" si="0"/>
        <v>-2.8000000000000043</v>
      </c>
      <c r="P17" s="43">
        <f t="shared" si="1"/>
        <v>-1.0600000000000005</v>
      </c>
    </row>
    <row r="18" spans="2:16" ht="16.5" customHeight="1">
      <c r="B18" s="28"/>
      <c r="C18" s="29" t="s">
        <v>0</v>
      </c>
      <c r="D18" s="11" t="s">
        <v>10</v>
      </c>
      <c r="E18" s="5" t="s">
        <v>0</v>
      </c>
      <c r="F18" s="55">
        <v>31.1</v>
      </c>
      <c r="G18" s="62">
        <v>10.66</v>
      </c>
      <c r="H18" s="42"/>
      <c r="I18" s="54">
        <v>33.799999999999997</v>
      </c>
      <c r="J18" s="62">
        <v>11.56</v>
      </c>
      <c r="K18" s="42"/>
      <c r="L18" s="159">
        <v>35.6</v>
      </c>
      <c r="M18" s="168">
        <v>13.76</v>
      </c>
      <c r="N18" s="42"/>
      <c r="O18" s="43">
        <f t="shared" si="0"/>
        <v>1.8000000000000043</v>
      </c>
      <c r="P18" s="43">
        <f t="shared" si="1"/>
        <v>2.1999999999999993</v>
      </c>
    </row>
    <row r="19" spans="2:16" ht="16.5" customHeight="1">
      <c r="B19" s="28"/>
      <c r="C19" s="29" t="s">
        <v>0</v>
      </c>
      <c r="D19" s="11" t="s">
        <v>11</v>
      </c>
      <c r="E19" s="5" t="s">
        <v>0</v>
      </c>
      <c r="F19" s="55">
        <v>5</v>
      </c>
      <c r="G19" s="62">
        <v>0.28000000000000003</v>
      </c>
      <c r="H19" s="42"/>
      <c r="I19" s="54">
        <v>7.3</v>
      </c>
      <c r="J19" s="62">
        <v>0.4</v>
      </c>
      <c r="K19" s="42"/>
      <c r="L19" s="159">
        <v>12.3</v>
      </c>
      <c r="M19" s="168">
        <v>0.71</v>
      </c>
      <c r="N19" s="42"/>
      <c r="O19" s="43">
        <f t="shared" si="0"/>
        <v>5.0000000000000009</v>
      </c>
      <c r="P19" s="43">
        <f t="shared" si="1"/>
        <v>0.30999999999999994</v>
      </c>
    </row>
    <row r="20" spans="2:16" ht="16.5" customHeight="1">
      <c r="B20" s="28"/>
      <c r="C20" s="29" t="s">
        <v>0</v>
      </c>
      <c r="D20" s="30" t="s">
        <v>12</v>
      </c>
      <c r="E20" s="5" t="s">
        <v>0</v>
      </c>
      <c r="F20" s="55">
        <v>29.4</v>
      </c>
      <c r="G20" s="62">
        <v>6.57</v>
      </c>
      <c r="H20" s="42"/>
      <c r="I20" s="54">
        <v>31.6</v>
      </c>
      <c r="J20" s="62">
        <v>5.51</v>
      </c>
      <c r="K20" s="42"/>
      <c r="L20" s="159">
        <v>30.5</v>
      </c>
      <c r="M20" s="168">
        <v>5.81</v>
      </c>
      <c r="N20" s="42"/>
      <c r="O20" s="43">
        <f t="shared" si="0"/>
        <v>-1.1000000000000014</v>
      </c>
      <c r="P20" s="43">
        <f t="shared" si="1"/>
        <v>0.29999999999999982</v>
      </c>
    </row>
    <row r="21" spans="2:16" ht="16.5" customHeight="1">
      <c r="B21" s="28"/>
      <c r="C21" s="29" t="s">
        <v>0</v>
      </c>
      <c r="D21" s="11" t="s">
        <v>24</v>
      </c>
      <c r="E21" s="5" t="s">
        <v>0</v>
      </c>
      <c r="F21" s="55">
        <v>11.2</v>
      </c>
      <c r="G21" s="62">
        <v>1.46</v>
      </c>
      <c r="H21" s="42"/>
      <c r="I21" s="54">
        <v>11.9</v>
      </c>
      <c r="J21" s="62">
        <v>1.66</v>
      </c>
      <c r="K21" s="42"/>
      <c r="L21" s="159">
        <v>10.6</v>
      </c>
      <c r="M21" s="168">
        <v>1.57</v>
      </c>
      <c r="N21" s="42"/>
      <c r="O21" s="43">
        <f t="shared" si="0"/>
        <v>-1.3000000000000007</v>
      </c>
      <c r="P21" s="43">
        <f t="shared" si="1"/>
        <v>-8.9999999999999858E-2</v>
      </c>
    </row>
    <row r="22" spans="2:16" ht="16.5" customHeight="1">
      <c r="B22" s="28"/>
      <c r="C22" s="275" t="s">
        <v>54</v>
      </c>
      <c r="D22" s="275"/>
      <c r="E22" s="4" t="s">
        <v>0</v>
      </c>
      <c r="F22" s="206">
        <v>50.9</v>
      </c>
      <c r="G22" s="67">
        <v>54.78</v>
      </c>
      <c r="H22" s="4"/>
      <c r="I22" s="53">
        <v>50.1</v>
      </c>
      <c r="J22" s="67">
        <v>53.19</v>
      </c>
      <c r="K22" s="4"/>
      <c r="L22" s="166">
        <v>44.5</v>
      </c>
      <c r="M22" s="167">
        <v>50.89</v>
      </c>
      <c r="N22" s="68"/>
      <c r="O22" s="41">
        <f t="shared" si="0"/>
        <v>-5.6000000000000014</v>
      </c>
      <c r="P22" s="41">
        <f t="shared" si="1"/>
        <v>-2.2999999999999972</v>
      </c>
    </row>
    <row r="23" spans="2:16" ht="16.5" customHeight="1">
      <c r="B23" s="28"/>
      <c r="C23" s="29" t="s">
        <v>0</v>
      </c>
      <c r="D23" s="11" t="s">
        <v>64</v>
      </c>
      <c r="E23" s="5" t="s">
        <v>0</v>
      </c>
      <c r="F23" s="55">
        <v>62.9</v>
      </c>
      <c r="G23" s="62">
        <v>26.81</v>
      </c>
      <c r="H23" s="42"/>
      <c r="I23" s="54">
        <v>61.7</v>
      </c>
      <c r="J23" s="62">
        <v>24.3</v>
      </c>
      <c r="K23" s="42"/>
      <c r="L23" s="159">
        <v>58</v>
      </c>
      <c r="M23" s="168">
        <v>25.45</v>
      </c>
      <c r="N23" s="42"/>
      <c r="O23" s="43">
        <f t="shared" si="0"/>
        <v>-3.7000000000000028</v>
      </c>
      <c r="P23" s="43">
        <f>M23-J23</f>
        <v>1.1499999999999986</v>
      </c>
    </row>
    <row r="24" spans="2:16" ht="16.5" customHeight="1">
      <c r="B24" s="28"/>
      <c r="C24" s="29" t="s">
        <v>0</v>
      </c>
      <c r="D24" s="11" t="s">
        <v>25</v>
      </c>
      <c r="E24" s="5" t="s">
        <v>0</v>
      </c>
      <c r="F24" s="55">
        <v>27.3</v>
      </c>
      <c r="G24" s="62">
        <v>3.85</v>
      </c>
      <c r="H24" s="42"/>
      <c r="I24" s="54">
        <v>30.9</v>
      </c>
      <c r="J24" s="62">
        <v>4.13</v>
      </c>
      <c r="K24" s="42"/>
      <c r="L24" s="159">
        <v>28.1</v>
      </c>
      <c r="M24" s="168">
        <v>4.67</v>
      </c>
      <c r="N24" s="42"/>
      <c r="O24" s="43">
        <f t="shared" si="0"/>
        <v>-2.7999999999999972</v>
      </c>
      <c r="P24" s="43">
        <f t="shared" si="1"/>
        <v>0.54</v>
      </c>
    </row>
    <row r="25" spans="2:16" ht="16.5" customHeight="1">
      <c r="B25" s="28"/>
      <c r="C25" s="29" t="s">
        <v>0</v>
      </c>
      <c r="D25" s="11" t="s">
        <v>26</v>
      </c>
      <c r="E25" s="5" t="s">
        <v>0</v>
      </c>
      <c r="F25" s="55">
        <v>33.5</v>
      </c>
      <c r="G25" s="62">
        <v>5.92</v>
      </c>
      <c r="H25" s="42"/>
      <c r="I25" s="54">
        <v>38.299999999999997</v>
      </c>
      <c r="J25" s="62">
        <v>6.68</v>
      </c>
      <c r="K25" s="42"/>
      <c r="L25" s="159">
        <v>37.4</v>
      </c>
      <c r="M25" s="168">
        <v>7.72</v>
      </c>
      <c r="N25" s="42"/>
      <c r="O25" s="43">
        <f t="shared" si="0"/>
        <v>-0.89999999999999858</v>
      </c>
      <c r="P25" s="43">
        <f t="shared" si="1"/>
        <v>1.04</v>
      </c>
    </row>
    <row r="26" spans="2:16" ht="16.5" customHeight="1">
      <c r="B26" s="28"/>
      <c r="C26" s="29" t="s">
        <v>0</v>
      </c>
      <c r="D26" s="11" t="s">
        <v>27</v>
      </c>
      <c r="E26" s="5" t="s">
        <v>0</v>
      </c>
      <c r="F26" s="55">
        <v>54.9</v>
      </c>
      <c r="G26" s="62">
        <v>18.190000000000001</v>
      </c>
      <c r="H26" s="42"/>
      <c r="I26" s="54">
        <v>50.3</v>
      </c>
      <c r="J26" s="62">
        <v>18.079999999999998</v>
      </c>
      <c r="K26" s="42"/>
      <c r="L26" s="159">
        <v>39.299999999999997</v>
      </c>
      <c r="M26" s="168">
        <v>13.05</v>
      </c>
      <c r="N26" s="42"/>
      <c r="O26" s="43">
        <f t="shared" si="0"/>
        <v>-11</v>
      </c>
      <c r="P26" s="43">
        <f t="shared" si="1"/>
        <v>-5.0299999999999976</v>
      </c>
    </row>
    <row r="27" spans="2:16" s="128" customFormat="1" ht="16.5" customHeight="1">
      <c r="B27" s="127"/>
      <c r="C27" s="275" t="s">
        <v>216</v>
      </c>
      <c r="D27" s="275"/>
      <c r="E27" s="4"/>
      <c r="F27" s="52">
        <v>7.7</v>
      </c>
      <c r="G27" s="124">
        <v>0.46</v>
      </c>
      <c r="H27" s="40"/>
      <c r="I27" s="50">
        <v>4.5999999999999996</v>
      </c>
      <c r="J27" s="124">
        <v>0.39</v>
      </c>
      <c r="K27" s="40"/>
      <c r="L27" s="158">
        <v>5</v>
      </c>
      <c r="M27" s="171">
        <v>0.49</v>
      </c>
      <c r="N27" s="40"/>
      <c r="O27" s="41">
        <f t="shared" si="0"/>
        <v>0.40000000000000036</v>
      </c>
      <c r="P27" s="41">
        <f t="shared" si="1"/>
        <v>9.9999999999999978E-2</v>
      </c>
    </row>
    <row r="28" spans="2:16" ht="16.5" customHeight="1">
      <c r="B28" s="275" t="s">
        <v>53</v>
      </c>
      <c r="C28" s="275"/>
      <c r="D28" s="275"/>
      <c r="E28" s="4" t="s">
        <v>0</v>
      </c>
      <c r="F28" s="206">
        <v>0.1</v>
      </c>
      <c r="G28" s="67">
        <v>0.02</v>
      </c>
      <c r="H28" s="4"/>
      <c r="I28" s="53">
        <v>0.4</v>
      </c>
      <c r="J28" s="67">
        <v>7.0000000000000007E-2</v>
      </c>
      <c r="K28" s="4"/>
      <c r="L28" s="166">
        <v>0.4</v>
      </c>
      <c r="M28" s="167">
        <v>7.0000000000000007E-2</v>
      </c>
      <c r="N28" s="68"/>
      <c r="O28" s="41">
        <f t="shared" si="0"/>
        <v>0</v>
      </c>
      <c r="P28" s="41">
        <f t="shared" si="1"/>
        <v>0</v>
      </c>
    </row>
    <row r="29" spans="2:16" ht="16.5" customHeight="1">
      <c r="B29" s="28"/>
      <c r="C29" s="29" t="s">
        <v>0</v>
      </c>
      <c r="D29" s="11" t="s">
        <v>42</v>
      </c>
      <c r="E29" s="5" t="s">
        <v>0</v>
      </c>
      <c r="F29" s="55">
        <v>0.1</v>
      </c>
      <c r="G29" s="62">
        <v>0.02</v>
      </c>
      <c r="H29" s="42"/>
      <c r="I29" s="54">
        <v>0.1</v>
      </c>
      <c r="J29" s="62">
        <v>0.02</v>
      </c>
      <c r="K29" s="42"/>
      <c r="L29" s="159">
        <v>0.1</v>
      </c>
      <c r="M29" s="168">
        <v>0.02</v>
      </c>
      <c r="N29" s="42"/>
      <c r="O29" s="43">
        <f t="shared" si="0"/>
        <v>0</v>
      </c>
      <c r="P29" s="43">
        <f t="shared" si="1"/>
        <v>0</v>
      </c>
    </row>
    <row r="30" spans="2:16" ht="16.5" customHeight="1">
      <c r="B30" s="28"/>
      <c r="C30" s="29" t="s">
        <v>0</v>
      </c>
      <c r="D30" s="11" t="s">
        <v>43</v>
      </c>
      <c r="E30" s="5" t="s">
        <v>0</v>
      </c>
      <c r="F30" s="55">
        <v>0.2</v>
      </c>
      <c r="G30" s="62">
        <v>0.01</v>
      </c>
      <c r="H30" s="42"/>
      <c r="I30" s="54">
        <v>2</v>
      </c>
      <c r="J30" s="62">
        <v>0.05</v>
      </c>
      <c r="K30" s="42"/>
      <c r="L30" s="159">
        <v>1.2</v>
      </c>
      <c r="M30" s="168">
        <v>0.06</v>
      </c>
      <c r="N30" s="42"/>
      <c r="O30" s="43">
        <f t="shared" si="0"/>
        <v>-0.8</v>
      </c>
      <c r="P30" s="43">
        <f t="shared" si="1"/>
        <v>9.999999999999995E-3</v>
      </c>
    </row>
    <row r="31" spans="2:16" ht="16.5" customHeight="1">
      <c r="B31" s="275" t="s">
        <v>15</v>
      </c>
      <c r="C31" s="275"/>
      <c r="D31" s="275"/>
      <c r="E31" s="5" t="s">
        <v>0</v>
      </c>
      <c r="F31" s="206">
        <v>0.2</v>
      </c>
      <c r="G31" s="67">
        <v>0.06</v>
      </c>
      <c r="H31" s="5"/>
      <c r="I31" s="53">
        <v>0.1</v>
      </c>
      <c r="J31" s="67">
        <v>0.02</v>
      </c>
      <c r="K31" s="5"/>
      <c r="L31" s="166">
        <v>0.1</v>
      </c>
      <c r="M31" s="167">
        <v>0.02</v>
      </c>
      <c r="N31" s="68"/>
      <c r="O31" s="41">
        <f t="shared" si="0"/>
        <v>0</v>
      </c>
      <c r="P31" s="41">
        <f t="shared" si="1"/>
        <v>0</v>
      </c>
    </row>
    <row r="32" spans="2:16" ht="16.5" customHeight="1">
      <c r="B32" s="275" t="s">
        <v>52</v>
      </c>
      <c r="C32" s="276"/>
      <c r="D32" s="276"/>
      <c r="E32" s="4" t="s">
        <v>0</v>
      </c>
      <c r="F32" s="206">
        <v>6.5</v>
      </c>
      <c r="G32" s="67">
        <v>13.87</v>
      </c>
      <c r="H32" s="4"/>
      <c r="I32" s="53">
        <v>6.1</v>
      </c>
      <c r="J32" s="67">
        <v>14.63</v>
      </c>
      <c r="K32" s="4"/>
      <c r="L32" s="166">
        <v>5.6</v>
      </c>
      <c r="M32" s="167">
        <v>17.63</v>
      </c>
      <c r="N32" s="68"/>
      <c r="O32" s="41">
        <f t="shared" si="0"/>
        <v>-0.5</v>
      </c>
      <c r="P32" s="41">
        <f t="shared" si="1"/>
        <v>2.9999999999999982</v>
      </c>
    </row>
    <row r="33" spans="2:16" ht="16.5" customHeight="1">
      <c r="B33" s="28"/>
      <c r="C33" s="275" t="s">
        <v>51</v>
      </c>
      <c r="D33" s="275"/>
      <c r="E33" s="4" t="s">
        <v>0</v>
      </c>
      <c r="F33" s="206">
        <v>18</v>
      </c>
      <c r="G33" s="67">
        <v>9.26</v>
      </c>
      <c r="H33" s="4"/>
      <c r="I33" s="53">
        <v>16</v>
      </c>
      <c r="J33" s="67">
        <v>8.66</v>
      </c>
      <c r="K33" s="4"/>
      <c r="L33" s="166">
        <v>13.8</v>
      </c>
      <c r="M33" s="167">
        <v>9.59</v>
      </c>
      <c r="N33" s="68"/>
      <c r="O33" s="41">
        <f t="shared" si="0"/>
        <v>-2.1999999999999993</v>
      </c>
      <c r="P33" s="41">
        <f t="shared" si="1"/>
        <v>0.92999999999999972</v>
      </c>
    </row>
    <row r="34" spans="2:16" ht="16.5" customHeight="1">
      <c r="B34" s="28"/>
      <c r="C34" s="29" t="s">
        <v>0</v>
      </c>
      <c r="D34" s="11" t="s">
        <v>28</v>
      </c>
      <c r="E34" s="5" t="s">
        <v>0</v>
      </c>
      <c r="F34" s="55">
        <v>6.7</v>
      </c>
      <c r="G34" s="62">
        <v>2.02</v>
      </c>
      <c r="H34" s="42"/>
      <c r="I34" s="54">
        <v>9.6999999999999993</v>
      </c>
      <c r="J34" s="62">
        <v>3.37</v>
      </c>
      <c r="K34" s="42"/>
      <c r="L34" s="159">
        <v>10.5</v>
      </c>
      <c r="M34" s="168">
        <v>5.03</v>
      </c>
      <c r="N34" s="42"/>
      <c r="O34" s="43">
        <f t="shared" si="0"/>
        <v>0.80000000000000071</v>
      </c>
      <c r="P34" s="43">
        <f t="shared" si="1"/>
        <v>1.6600000000000001</v>
      </c>
    </row>
    <row r="35" spans="2:16" ht="16.5" customHeight="1">
      <c r="B35" s="28"/>
      <c r="C35" s="29" t="s">
        <v>0</v>
      </c>
      <c r="D35" s="11" t="s">
        <v>17</v>
      </c>
      <c r="E35" s="5" t="s">
        <v>0</v>
      </c>
      <c r="F35" s="55">
        <v>34.4</v>
      </c>
      <c r="G35" s="62">
        <v>7.24</v>
      </c>
      <c r="H35" s="42"/>
      <c r="I35" s="54">
        <v>26.9</v>
      </c>
      <c r="J35" s="62">
        <v>5.29</v>
      </c>
      <c r="K35" s="42"/>
      <c r="L35" s="159">
        <v>21.3</v>
      </c>
      <c r="M35" s="168">
        <v>4.5599999999999996</v>
      </c>
      <c r="N35" s="42"/>
      <c r="O35" s="43">
        <f t="shared" si="0"/>
        <v>-5.5999999999999979</v>
      </c>
      <c r="P35" s="43">
        <f t="shared" si="1"/>
        <v>-0.73000000000000043</v>
      </c>
    </row>
    <row r="36" spans="2:16" ht="16.5" customHeight="1">
      <c r="B36" s="28"/>
      <c r="C36" s="275" t="s">
        <v>50</v>
      </c>
      <c r="D36" s="275"/>
      <c r="E36" s="4" t="s">
        <v>0</v>
      </c>
      <c r="F36" s="206">
        <v>3.5</v>
      </c>
      <c r="G36" s="67">
        <v>3.21</v>
      </c>
      <c r="H36" s="4"/>
      <c r="I36" s="53">
        <v>4.5</v>
      </c>
      <c r="J36" s="67">
        <v>4.67</v>
      </c>
      <c r="K36" s="4"/>
      <c r="L36" s="166">
        <v>4.8</v>
      </c>
      <c r="M36" s="167">
        <v>6.75</v>
      </c>
      <c r="N36" s="68"/>
      <c r="O36" s="41">
        <f t="shared" si="0"/>
        <v>0.29999999999999982</v>
      </c>
      <c r="P36" s="41">
        <f t="shared" si="1"/>
        <v>2.08</v>
      </c>
    </row>
    <row r="37" spans="2:16" ht="16.5" customHeight="1">
      <c r="B37" s="28"/>
      <c r="C37" s="29" t="s">
        <v>0</v>
      </c>
      <c r="D37" s="11" t="s">
        <v>29</v>
      </c>
      <c r="E37" s="5" t="s">
        <v>0</v>
      </c>
      <c r="F37" s="55">
        <v>2.5</v>
      </c>
      <c r="G37" s="62">
        <v>0.43</v>
      </c>
      <c r="H37" s="42"/>
      <c r="I37" s="54">
        <v>4.0999999999999996</v>
      </c>
      <c r="J37" s="62">
        <v>0.77</v>
      </c>
      <c r="K37" s="42"/>
      <c r="L37" s="159">
        <v>7.8</v>
      </c>
      <c r="M37" s="168">
        <v>1.85</v>
      </c>
      <c r="N37" s="42"/>
      <c r="O37" s="43">
        <f t="shared" si="0"/>
        <v>3.7</v>
      </c>
      <c r="P37" s="43">
        <f t="shared" si="1"/>
        <v>1.08</v>
      </c>
    </row>
    <row r="38" spans="2:16" ht="16.5" customHeight="1">
      <c r="B38" s="28"/>
      <c r="C38" s="29" t="s">
        <v>0</v>
      </c>
      <c r="D38" s="11" t="s">
        <v>30</v>
      </c>
      <c r="E38" s="5" t="s">
        <v>0</v>
      </c>
      <c r="F38" s="55">
        <v>2</v>
      </c>
      <c r="G38" s="62">
        <v>0.44</v>
      </c>
      <c r="H38" s="42"/>
      <c r="I38" s="54">
        <v>1.8</v>
      </c>
      <c r="J38" s="62">
        <v>0.4</v>
      </c>
      <c r="K38" s="42"/>
      <c r="L38" s="159">
        <v>2.9</v>
      </c>
      <c r="M38" s="168">
        <v>0.78</v>
      </c>
      <c r="N38" s="42"/>
      <c r="O38" s="43">
        <f t="shared" si="0"/>
        <v>1.0999999999999999</v>
      </c>
      <c r="P38" s="43">
        <f t="shared" si="1"/>
        <v>0.38</v>
      </c>
    </row>
    <row r="39" spans="2:16" ht="16.5" customHeight="1">
      <c r="B39" s="28"/>
      <c r="C39" s="29" t="s">
        <v>0</v>
      </c>
      <c r="D39" s="11" t="s">
        <v>31</v>
      </c>
      <c r="E39" s="5" t="s">
        <v>0</v>
      </c>
      <c r="F39" s="55">
        <v>0.4</v>
      </c>
      <c r="G39" s="62">
        <v>0.09</v>
      </c>
      <c r="H39" s="42"/>
      <c r="I39" s="54">
        <v>0.2</v>
      </c>
      <c r="J39" s="62">
        <v>0.06</v>
      </c>
      <c r="K39" s="42"/>
      <c r="L39" s="159">
        <v>0.1</v>
      </c>
      <c r="M39" s="168">
        <v>0.03</v>
      </c>
      <c r="N39" s="42"/>
      <c r="O39" s="43">
        <f t="shared" si="0"/>
        <v>-0.1</v>
      </c>
      <c r="P39" s="43">
        <f t="shared" si="1"/>
        <v>-0.03</v>
      </c>
    </row>
    <row r="40" spans="2:16" ht="16.5" customHeight="1">
      <c r="B40" s="28"/>
      <c r="C40" s="29" t="s">
        <v>0</v>
      </c>
      <c r="D40" s="11" t="s">
        <v>32</v>
      </c>
      <c r="E40" s="5" t="s">
        <v>0</v>
      </c>
      <c r="F40" s="55">
        <v>5.8</v>
      </c>
      <c r="G40" s="62">
        <v>1.23</v>
      </c>
      <c r="H40" s="42"/>
      <c r="I40" s="54">
        <v>8.5</v>
      </c>
      <c r="J40" s="62">
        <v>2.2200000000000002</v>
      </c>
      <c r="K40" s="42"/>
      <c r="L40" s="159">
        <v>7.3</v>
      </c>
      <c r="M40" s="168">
        <v>2.64</v>
      </c>
      <c r="N40" s="42"/>
      <c r="O40" s="43">
        <f t="shared" si="0"/>
        <v>-1.2000000000000002</v>
      </c>
      <c r="P40" s="43">
        <f>M40-J40</f>
        <v>0.41999999999999993</v>
      </c>
    </row>
    <row r="41" spans="2:16" ht="16.5" customHeight="1">
      <c r="B41" s="28"/>
      <c r="C41" s="29" t="s">
        <v>0</v>
      </c>
      <c r="D41" s="11" t="s">
        <v>33</v>
      </c>
      <c r="E41" s="5" t="s">
        <v>0</v>
      </c>
      <c r="F41" s="55">
        <v>12.2</v>
      </c>
      <c r="G41" s="62">
        <v>1.01</v>
      </c>
      <c r="H41" s="42"/>
      <c r="I41" s="54">
        <v>11.5</v>
      </c>
      <c r="J41" s="62">
        <v>1.23</v>
      </c>
      <c r="K41" s="42"/>
      <c r="L41" s="159">
        <v>9.1</v>
      </c>
      <c r="M41" s="168">
        <v>1.45</v>
      </c>
      <c r="N41" s="42"/>
      <c r="O41" s="43">
        <f t="shared" si="0"/>
        <v>-2.4000000000000004</v>
      </c>
      <c r="P41" s="43">
        <f t="shared" si="1"/>
        <v>0.21999999999999997</v>
      </c>
    </row>
    <row r="42" spans="2:16" ht="16.5" customHeight="1">
      <c r="B42" s="28"/>
      <c r="C42" s="275" t="s">
        <v>49</v>
      </c>
      <c r="D42" s="275"/>
      <c r="E42" s="4" t="s">
        <v>0</v>
      </c>
      <c r="F42" s="206">
        <v>0.2</v>
      </c>
      <c r="G42" s="67">
        <v>0.08</v>
      </c>
      <c r="H42" s="4"/>
      <c r="I42" s="53">
        <v>0.2</v>
      </c>
      <c r="J42" s="67">
        <v>0.08</v>
      </c>
      <c r="K42" s="4"/>
      <c r="L42" s="166">
        <v>0.1</v>
      </c>
      <c r="M42" s="167">
        <v>0.06</v>
      </c>
      <c r="N42" s="68"/>
      <c r="O42" s="41">
        <f t="shared" si="0"/>
        <v>-0.1</v>
      </c>
      <c r="P42" s="41">
        <f t="shared" si="1"/>
        <v>-2.0000000000000004E-2</v>
      </c>
    </row>
    <row r="43" spans="2:16" ht="16.5" customHeight="1">
      <c r="B43" s="28"/>
      <c r="C43" s="29" t="s">
        <v>0</v>
      </c>
      <c r="D43" s="11" t="s">
        <v>34</v>
      </c>
      <c r="E43" s="5" t="s">
        <v>0</v>
      </c>
      <c r="F43" s="55">
        <v>0</v>
      </c>
      <c r="G43" s="62">
        <v>0</v>
      </c>
      <c r="H43" s="42"/>
      <c r="I43" s="54">
        <v>0</v>
      </c>
      <c r="J43" s="62">
        <v>0.01</v>
      </c>
      <c r="K43" s="42"/>
      <c r="L43" s="159">
        <v>0</v>
      </c>
      <c r="M43" s="168">
        <v>0</v>
      </c>
      <c r="N43" s="42"/>
      <c r="O43" s="43">
        <f t="shared" si="0"/>
        <v>0</v>
      </c>
      <c r="P43" s="43">
        <f t="shared" si="1"/>
        <v>-0.01</v>
      </c>
    </row>
    <row r="44" spans="2:16" ht="16.5" customHeight="1">
      <c r="B44" s="28"/>
      <c r="C44" s="29" t="s">
        <v>0</v>
      </c>
      <c r="D44" s="11" t="s">
        <v>20</v>
      </c>
      <c r="E44" s="5" t="s">
        <v>0</v>
      </c>
      <c r="F44" s="55">
        <v>0.5</v>
      </c>
      <c r="G44" s="62">
        <v>7.0000000000000007E-2</v>
      </c>
      <c r="H44" s="42"/>
      <c r="I44" s="54">
        <v>0.1</v>
      </c>
      <c r="J44" s="62">
        <v>0.02</v>
      </c>
      <c r="K44" s="42"/>
      <c r="L44" s="159">
        <v>0.2</v>
      </c>
      <c r="M44" s="168">
        <v>0.03</v>
      </c>
      <c r="N44" s="42"/>
      <c r="O44" s="43">
        <f t="shared" si="0"/>
        <v>0.1</v>
      </c>
      <c r="P44" s="43">
        <f t="shared" si="1"/>
        <v>9.9999999999999985E-3</v>
      </c>
    </row>
    <row r="45" spans="2:16" ht="16.5" customHeight="1">
      <c r="B45" s="28"/>
      <c r="C45" s="29" t="s">
        <v>0</v>
      </c>
      <c r="D45" s="11" t="s">
        <v>21</v>
      </c>
      <c r="E45" s="5" t="s">
        <v>0</v>
      </c>
      <c r="F45" s="55">
        <v>0.1</v>
      </c>
      <c r="G45" s="62">
        <v>0.01</v>
      </c>
      <c r="H45" s="42"/>
      <c r="I45" s="54">
        <v>0.3</v>
      </c>
      <c r="J45" s="62">
        <v>0.05</v>
      </c>
      <c r="K45" s="42"/>
      <c r="L45" s="159">
        <v>0.1</v>
      </c>
      <c r="M45" s="168">
        <v>0.03</v>
      </c>
      <c r="N45" s="42"/>
      <c r="O45" s="43">
        <f t="shared" si="0"/>
        <v>-0.19999999999999998</v>
      </c>
      <c r="P45" s="43">
        <f t="shared" si="1"/>
        <v>-2.0000000000000004E-2</v>
      </c>
    </row>
    <row r="46" spans="2:16" ht="16.5" customHeight="1">
      <c r="B46" s="28"/>
      <c r="C46" s="275" t="s">
        <v>48</v>
      </c>
      <c r="D46" s="275"/>
      <c r="E46" s="4" t="s">
        <v>0</v>
      </c>
      <c r="F46" s="206">
        <v>4.9000000000000004</v>
      </c>
      <c r="G46" s="67">
        <v>1.32</v>
      </c>
      <c r="H46" s="4"/>
      <c r="I46" s="53">
        <v>3.8</v>
      </c>
      <c r="J46" s="67">
        <v>1.21</v>
      </c>
      <c r="K46" s="4"/>
      <c r="L46" s="166">
        <v>3.3</v>
      </c>
      <c r="M46" s="167">
        <v>1.24</v>
      </c>
      <c r="N46" s="68"/>
      <c r="O46" s="41">
        <f t="shared" si="0"/>
        <v>-0.5</v>
      </c>
      <c r="P46" s="41">
        <f t="shared" si="1"/>
        <v>3.0000000000000027E-2</v>
      </c>
    </row>
    <row r="47" spans="2:16" ht="16.5" customHeight="1">
      <c r="B47" s="28"/>
      <c r="C47" s="29" t="s">
        <v>0</v>
      </c>
      <c r="D47" s="11" t="s">
        <v>23</v>
      </c>
      <c r="E47" s="5" t="s">
        <v>0</v>
      </c>
      <c r="F47" s="55">
        <v>6.9</v>
      </c>
      <c r="G47" s="62">
        <v>1.03</v>
      </c>
      <c r="H47" s="42"/>
      <c r="I47" s="54">
        <v>5.3</v>
      </c>
      <c r="J47" s="62">
        <v>0.98</v>
      </c>
      <c r="K47" s="42"/>
      <c r="L47" s="159">
        <v>4.4000000000000004</v>
      </c>
      <c r="M47" s="168">
        <v>0.99</v>
      </c>
      <c r="N47" s="42"/>
      <c r="O47" s="43">
        <f t="shared" si="0"/>
        <v>-0.89999999999999947</v>
      </c>
      <c r="P47" s="43">
        <f t="shared" si="1"/>
        <v>1.0000000000000009E-2</v>
      </c>
    </row>
    <row r="48" spans="2:16" ht="16.5" customHeight="1">
      <c r="B48" s="28"/>
      <c r="C48" s="29" t="s">
        <v>0</v>
      </c>
      <c r="D48" s="11" t="s">
        <v>35</v>
      </c>
      <c r="E48" s="5" t="s">
        <v>0</v>
      </c>
      <c r="F48" s="55">
        <v>4.2</v>
      </c>
      <c r="G48" s="62">
        <v>0.24</v>
      </c>
      <c r="H48" s="42"/>
      <c r="I48" s="54">
        <v>2.6</v>
      </c>
      <c r="J48" s="62">
        <v>0.14000000000000001</v>
      </c>
      <c r="K48" s="42"/>
      <c r="L48" s="159">
        <v>2.4</v>
      </c>
      <c r="M48" s="168">
        <v>0.14000000000000001</v>
      </c>
      <c r="N48" s="42"/>
      <c r="O48" s="43">
        <f t="shared" si="0"/>
        <v>-0.20000000000000018</v>
      </c>
      <c r="P48" s="43">
        <f t="shared" si="1"/>
        <v>0</v>
      </c>
    </row>
    <row r="49" spans="2:16" ht="16.5" customHeight="1">
      <c r="B49" s="28"/>
      <c r="C49" s="29"/>
      <c r="D49" s="11" t="s">
        <v>36</v>
      </c>
      <c r="E49" s="5"/>
      <c r="F49" s="55">
        <v>0.7</v>
      </c>
      <c r="G49" s="62">
        <v>0.04</v>
      </c>
      <c r="H49" s="42"/>
      <c r="I49" s="54">
        <v>1.1000000000000001</v>
      </c>
      <c r="J49" s="62">
        <v>0.09</v>
      </c>
      <c r="K49" s="42"/>
      <c r="L49" s="159">
        <v>1.1000000000000001</v>
      </c>
      <c r="M49" s="168">
        <v>0.11</v>
      </c>
      <c r="N49" s="42"/>
      <c r="O49" s="43">
        <f t="shared" si="0"/>
        <v>0</v>
      </c>
      <c r="P49" s="43">
        <f t="shared" si="1"/>
        <v>2.0000000000000004E-2</v>
      </c>
    </row>
    <row r="50" spans="2:16" ht="16.5" customHeight="1">
      <c r="B50" s="276" t="s">
        <v>67</v>
      </c>
      <c r="C50" s="276"/>
      <c r="D50" s="276"/>
      <c r="E50" s="4" t="s">
        <v>0</v>
      </c>
      <c r="F50" s="66">
        <v>0</v>
      </c>
      <c r="G50" s="81">
        <v>0</v>
      </c>
      <c r="H50" s="4"/>
      <c r="I50" s="58">
        <v>0</v>
      </c>
      <c r="J50" s="81">
        <v>0</v>
      </c>
      <c r="K50" s="4"/>
      <c r="L50" s="161">
        <v>0</v>
      </c>
      <c r="M50" s="169">
        <v>0</v>
      </c>
      <c r="N50" s="68"/>
      <c r="O50" s="45">
        <f t="shared" si="0"/>
        <v>0</v>
      </c>
      <c r="P50" s="45">
        <f t="shared" si="1"/>
        <v>0</v>
      </c>
    </row>
    <row r="51" spans="2:16" ht="16.5" customHeight="1" thickBot="1">
      <c r="B51" s="277" t="s">
        <v>66</v>
      </c>
      <c r="C51" s="277"/>
      <c r="D51" s="277"/>
      <c r="E51" s="6" t="s">
        <v>0</v>
      </c>
      <c r="F51" s="61">
        <v>19.600000000000001</v>
      </c>
      <c r="G51" s="121">
        <v>100</v>
      </c>
      <c r="H51" s="71"/>
      <c r="I51" s="60">
        <v>18.7</v>
      </c>
      <c r="J51" s="121">
        <v>100</v>
      </c>
      <c r="K51" s="71"/>
      <c r="L51" s="162">
        <v>15.7</v>
      </c>
      <c r="M51" s="172">
        <v>100</v>
      </c>
      <c r="N51" s="63"/>
      <c r="O51" s="64">
        <f t="shared" si="0"/>
        <v>-3</v>
      </c>
      <c r="P51" s="64">
        <f t="shared" si="1"/>
        <v>0</v>
      </c>
    </row>
    <row r="52" spans="2:16" ht="9" customHeight="1" thickTop="1">
      <c r="B52"/>
      <c r="C52" s="7"/>
      <c r="D52" s="7"/>
    </row>
    <row r="53" spans="2:16">
      <c r="B53"/>
      <c r="C53" s="7"/>
      <c r="D53" s="12" t="s">
        <v>218</v>
      </c>
    </row>
    <row r="54" spans="2:16">
      <c r="D54" s="37" t="s">
        <v>219</v>
      </c>
      <c r="E54" s="12"/>
      <c r="H54" s="12"/>
      <c r="K54" s="12"/>
      <c r="N54" s="12"/>
    </row>
  </sheetData>
  <mergeCells count="23">
    <mergeCell ref="C27:D27"/>
    <mergeCell ref="O6:P6"/>
    <mergeCell ref="B7:D7"/>
    <mergeCell ref="B4:P4"/>
    <mergeCell ref="B3:P3"/>
    <mergeCell ref="C22:D22"/>
    <mergeCell ref="F6:G6"/>
    <mergeCell ref="I6:J6"/>
    <mergeCell ref="L6:M6"/>
    <mergeCell ref="B8:D8"/>
    <mergeCell ref="B9:D9"/>
    <mergeCell ref="B10:D10"/>
    <mergeCell ref="C11:D11"/>
    <mergeCell ref="C16:D16"/>
    <mergeCell ref="C46:D46"/>
    <mergeCell ref="B50:D50"/>
    <mergeCell ref="B51:D51"/>
    <mergeCell ref="B28:D28"/>
    <mergeCell ref="B31:D31"/>
    <mergeCell ref="B32:D32"/>
    <mergeCell ref="C33:D33"/>
    <mergeCell ref="C36:D36"/>
    <mergeCell ref="C42:D42"/>
  </mergeCells>
  <phoneticPr fontId="1" type="noConversion"/>
  <hyperlinks>
    <hyperlink ref="A1" location="목차!A1" display="(목차로 이동)" xr:uid="{00000000-0004-0000-0900-000000000000}"/>
  </hyperlinks>
  <pageMargins left="0.7" right="0.7" top="0.75" bottom="0.75" header="0.3" footer="0.3"/>
  <pageSetup paperSize="9" scale="75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5" tint="0.79998168889431442"/>
    <pageSetUpPr fitToPage="1"/>
  </sheetPr>
  <dimension ref="A1:Q54"/>
  <sheetViews>
    <sheetView view="pageBreakPreview" topLeftCell="A34" zoomScaleNormal="100" zoomScaleSheetLayoutView="100" workbookViewId="0">
      <selection activeCell="O33" sqref="O33"/>
    </sheetView>
  </sheetViews>
  <sheetFormatPr defaultRowHeight="16.5"/>
  <cols>
    <col min="1" max="1" width="2.625" customWidth="1"/>
    <col min="2" max="2" width="2.125" style="23" customWidth="1"/>
    <col min="3" max="3" width="2.125" style="35" customWidth="1"/>
    <col min="4" max="4" width="26.625" style="35" customWidth="1"/>
    <col min="5" max="5" width="1.625" customWidth="1"/>
    <col min="6" max="7" width="8.625" style="23" customWidth="1"/>
    <col min="8" max="8" width="1.625" style="23" customWidth="1"/>
    <col min="9" max="10" width="8.625" style="23" customWidth="1"/>
    <col min="11" max="11" width="1.625" customWidth="1"/>
    <col min="12" max="13" width="8.625" customWidth="1"/>
    <col min="14" max="14" width="1.625" customWidth="1"/>
    <col min="15" max="16" width="8.625" customWidth="1"/>
  </cols>
  <sheetData>
    <row r="1" spans="1:17">
      <c r="A1" s="32" t="s">
        <v>46</v>
      </c>
    </row>
    <row r="2" spans="1:17" ht="6" customHeight="1">
      <c r="A2" s="32"/>
    </row>
    <row r="3" spans="1:17" ht="23.1" customHeight="1">
      <c r="A3" s="32"/>
      <c r="B3" s="278" t="s">
        <v>68</v>
      </c>
      <c r="C3" s="278"/>
      <c r="D3" s="278"/>
      <c r="E3" s="278"/>
      <c r="F3" s="278"/>
      <c r="G3" s="278"/>
      <c r="H3" s="278"/>
      <c r="I3" s="278"/>
      <c r="J3" s="278"/>
      <c r="K3" s="278"/>
      <c r="L3" s="278"/>
      <c r="M3" s="278"/>
      <c r="N3" s="278"/>
      <c r="O3" s="278"/>
      <c r="P3" s="278"/>
      <c r="Q3" s="34"/>
    </row>
    <row r="4" spans="1:17" ht="18.75" customHeight="1">
      <c r="A4" s="32"/>
      <c r="B4" s="280" t="s">
        <v>47</v>
      </c>
      <c r="C4" s="280"/>
      <c r="D4" s="280"/>
      <c r="E4" s="280"/>
      <c r="F4" s="280"/>
      <c r="G4" s="280"/>
      <c r="H4" s="280"/>
      <c r="I4" s="280"/>
      <c r="J4" s="280"/>
      <c r="K4" s="280"/>
      <c r="L4" s="280"/>
      <c r="M4" s="280"/>
      <c r="N4" s="280"/>
      <c r="O4" s="280"/>
      <c r="P4" s="280"/>
      <c r="Q4" s="47"/>
    </row>
    <row r="5" spans="1:17" ht="8.25" customHeight="1" thickBot="1">
      <c r="B5" s="36"/>
      <c r="C5" s="36"/>
      <c r="D5" s="14"/>
    </row>
    <row r="6" spans="1:17" ht="17.25" thickTop="1">
      <c r="B6" s="69"/>
      <c r="C6" s="7"/>
      <c r="D6" s="69"/>
      <c r="E6" s="131"/>
      <c r="F6" s="300" t="s">
        <v>286</v>
      </c>
      <c r="G6" s="300"/>
      <c r="H6" s="255"/>
      <c r="I6" s="300" t="s">
        <v>289</v>
      </c>
      <c r="J6" s="300"/>
      <c r="K6" s="170"/>
      <c r="L6" s="301" t="s">
        <v>287</v>
      </c>
      <c r="M6" s="301"/>
      <c r="N6" s="170"/>
      <c r="O6" s="299" t="s">
        <v>45</v>
      </c>
      <c r="P6" s="299"/>
    </row>
    <row r="7" spans="1:17" ht="17.25" thickBot="1">
      <c r="B7" s="283" t="s">
        <v>0</v>
      </c>
      <c r="C7" s="283"/>
      <c r="D7" s="283"/>
      <c r="E7" s="26" t="s">
        <v>0</v>
      </c>
      <c r="F7" s="155" t="s">
        <v>197</v>
      </c>
      <c r="G7" s="155" t="s">
        <v>181</v>
      </c>
      <c r="H7" s="256" t="s">
        <v>0</v>
      </c>
      <c r="I7" s="155" t="s">
        <v>198</v>
      </c>
      <c r="J7" s="155" t="s">
        <v>253</v>
      </c>
      <c r="K7" s="26" t="s">
        <v>0</v>
      </c>
      <c r="L7" s="156" t="s">
        <v>199</v>
      </c>
      <c r="M7" s="156" t="s">
        <v>254</v>
      </c>
      <c r="N7" s="26" t="s">
        <v>0</v>
      </c>
      <c r="O7" s="154" t="s">
        <v>62</v>
      </c>
      <c r="P7" s="154" t="s">
        <v>182</v>
      </c>
    </row>
    <row r="8" spans="1:17" ht="16.5" customHeight="1" thickTop="1">
      <c r="B8" s="281" t="s">
        <v>1</v>
      </c>
      <c r="C8" s="281"/>
      <c r="D8" s="281"/>
      <c r="E8" s="4" t="s">
        <v>0</v>
      </c>
      <c r="F8" s="206">
        <v>17.010000000000002</v>
      </c>
      <c r="G8" s="257">
        <v>1.84</v>
      </c>
      <c r="H8" s="258"/>
      <c r="I8" s="206">
        <v>16.53</v>
      </c>
      <c r="J8" s="257">
        <v>1.95</v>
      </c>
      <c r="K8" s="4"/>
      <c r="L8" s="166">
        <v>15.73</v>
      </c>
      <c r="M8" s="167">
        <v>1.81</v>
      </c>
      <c r="N8" s="68"/>
      <c r="O8" s="41">
        <f t="shared" ref="O8:O51" si="0">L8-I8</f>
        <v>-0.80000000000000071</v>
      </c>
      <c r="P8" s="41">
        <f t="shared" ref="P8:P51" si="1">M8-J8</f>
        <v>-0.1399999999999999</v>
      </c>
    </row>
    <row r="9" spans="1:17" ht="16.5" customHeight="1">
      <c r="B9" s="275" t="s">
        <v>2</v>
      </c>
      <c r="C9" s="275"/>
      <c r="D9" s="275"/>
      <c r="E9" s="4" t="s">
        <v>0</v>
      </c>
      <c r="F9" s="206">
        <v>97.47</v>
      </c>
      <c r="G9" s="257">
        <v>21.83</v>
      </c>
      <c r="H9" s="258"/>
      <c r="I9" s="206">
        <v>96.45</v>
      </c>
      <c r="J9" s="257">
        <v>17.98</v>
      </c>
      <c r="K9" s="4"/>
      <c r="L9" s="166">
        <v>96.39</v>
      </c>
      <c r="M9" s="167">
        <v>16.059999999999999</v>
      </c>
      <c r="N9" s="68"/>
      <c r="O9" s="41">
        <f t="shared" si="0"/>
        <v>-6.0000000000002274E-2</v>
      </c>
      <c r="P9" s="41">
        <f t="shared" si="1"/>
        <v>-1.9200000000000017</v>
      </c>
    </row>
    <row r="10" spans="1:17" ht="16.5" customHeight="1">
      <c r="B10" s="275" t="s">
        <v>183</v>
      </c>
      <c r="C10" s="275"/>
      <c r="D10" s="275"/>
      <c r="E10" s="4" t="s">
        <v>0</v>
      </c>
      <c r="F10" s="206">
        <v>20.05</v>
      </c>
      <c r="G10" s="257">
        <v>62.36</v>
      </c>
      <c r="H10" s="258"/>
      <c r="I10" s="206">
        <v>19.059999999999999</v>
      </c>
      <c r="J10" s="257">
        <v>64.400000000000006</v>
      </c>
      <c r="K10" s="4"/>
      <c r="L10" s="166">
        <v>19.63</v>
      </c>
      <c r="M10" s="167">
        <v>67.37</v>
      </c>
      <c r="N10" s="68"/>
      <c r="O10" s="41">
        <f t="shared" si="0"/>
        <v>0.57000000000000028</v>
      </c>
      <c r="P10" s="41">
        <f t="shared" si="1"/>
        <v>2.9699999999999989</v>
      </c>
    </row>
    <row r="11" spans="1:17" ht="16.5" customHeight="1">
      <c r="B11" s="28"/>
      <c r="C11" s="275" t="s">
        <v>184</v>
      </c>
      <c r="D11" s="275"/>
      <c r="E11" s="4" t="s">
        <v>0</v>
      </c>
      <c r="F11" s="206">
        <v>18.48</v>
      </c>
      <c r="G11" s="257">
        <v>8.01</v>
      </c>
      <c r="H11" s="258"/>
      <c r="I11" s="206">
        <v>20.84</v>
      </c>
      <c r="J11" s="257">
        <v>11.16</v>
      </c>
      <c r="K11" s="4"/>
      <c r="L11" s="166">
        <v>22.05</v>
      </c>
      <c r="M11" s="167">
        <v>12.01</v>
      </c>
      <c r="N11" s="68"/>
      <c r="O11" s="41">
        <f t="shared" si="0"/>
        <v>1.2100000000000009</v>
      </c>
      <c r="P11" s="41">
        <f t="shared" si="1"/>
        <v>0.84999999999999964</v>
      </c>
    </row>
    <row r="12" spans="1:17" ht="16.5" customHeight="1">
      <c r="B12" s="28"/>
      <c r="C12" s="29" t="s">
        <v>0</v>
      </c>
      <c r="D12" s="11" t="s">
        <v>5</v>
      </c>
      <c r="E12" s="5" t="s">
        <v>0</v>
      </c>
      <c r="F12" s="55">
        <v>17.14</v>
      </c>
      <c r="G12" s="117">
        <v>3.19</v>
      </c>
      <c r="H12" s="259"/>
      <c r="I12" s="55">
        <v>17.649999999999999</v>
      </c>
      <c r="J12" s="117">
        <v>4.2</v>
      </c>
      <c r="K12" s="42"/>
      <c r="L12" s="159">
        <v>18.97</v>
      </c>
      <c r="M12" s="168">
        <v>5.15</v>
      </c>
      <c r="N12" s="42"/>
      <c r="O12" s="43">
        <f t="shared" si="0"/>
        <v>1.3200000000000003</v>
      </c>
      <c r="P12" s="43">
        <f t="shared" si="1"/>
        <v>0.95000000000000018</v>
      </c>
    </row>
    <row r="13" spans="1:17" ht="16.5" customHeight="1">
      <c r="B13" s="28"/>
      <c r="C13" s="29" t="s">
        <v>0</v>
      </c>
      <c r="D13" s="11" t="s">
        <v>6</v>
      </c>
      <c r="E13" s="5" t="s">
        <v>0</v>
      </c>
      <c r="F13" s="55">
        <v>21.41</v>
      </c>
      <c r="G13" s="117">
        <v>2.95</v>
      </c>
      <c r="H13" s="259"/>
      <c r="I13" s="55">
        <v>26.36</v>
      </c>
      <c r="J13" s="117">
        <v>4.55</v>
      </c>
      <c r="K13" s="42"/>
      <c r="L13" s="159">
        <v>31.03</v>
      </c>
      <c r="M13" s="168">
        <v>4.2</v>
      </c>
      <c r="N13" s="42"/>
      <c r="O13" s="43">
        <f t="shared" si="0"/>
        <v>4.6700000000000017</v>
      </c>
      <c r="P13" s="43">
        <f t="shared" si="1"/>
        <v>-0.34999999999999964</v>
      </c>
    </row>
    <row r="14" spans="1:17" ht="16.5" customHeight="1">
      <c r="B14" s="28"/>
      <c r="C14" s="29" t="s">
        <v>0</v>
      </c>
      <c r="D14" s="11" t="s">
        <v>7</v>
      </c>
      <c r="E14" s="5" t="s">
        <v>0</v>
      </c>
      <c r="F14" s="55">
        <v>15.62</v>
      </c>
      <c r="G14" s="117">
        <v>1.17</v>
      </c>
      <c r="H14" s="259"/>
      <c r="I14" s="55">
        <v>15.69</v>
      </c>
      <c r="J14" s="117">
        <v>1.28</v>
      </c>
      <c r="K14" s="42"/>
      <c r="L14" s="159">
        <v>13.67</v>
      </c>
      <c r="M14" s="168">
        <v>1.1399999999999999</v>
      </c>
      <c r="N14" s="42"/>
      <c r="O14" s="43">
        <f t="shared" si="0"/>
        <v>-2.0199999999999996</v>
      </c>
      <c r="P14" s="43">
        <f t="shared" si="1"/>
        <v>-0.14000000000000012</v>
      </c>
    </row>
    <row r="15" spans="1:17" ht="16.5" customHeight="1">
      <c r="B15" s="28"/>
      <c r="C15" s="29" t="s">
        <v>0</v>
      </c>
      <c r="D15" s="11" t="s">
        <v>215</v>
      </c>
      <c r="E15" s="5" t="s">
        <v>0</v>
      </c>
      <c r="F15" s="55">
        <v>20.27</v>
      </c>
      <c r="G15" s="117">
        <v>0.7</v>
      </c>
      <c r="H15" s="259"/>
      <c r="I15" s="55">
        <v>25.99</v>
      </c>
      <c r="J15" s="117">
        <v>1.1299999999999999</v>
      </c>
      <c r="K15" s="42"/>
      <c r="L15" s="159">
        <v>27.72</v>
      </c>
      <c r="M15" s="168">
        <v>1.53</v>
      </c>
      <c r="N15" s="42"/>
      <c r="O15" s="43">
        <f t="shared" si="0"/>
        <v>1.7300000000000004</v>
      </c>
      <c r="P15" s="43">
        <f t="shared" si="1"/>
        <v>0.40000000000000013</v>
      </c>
    </row>
    <row r="16" spans="1:17" ht="16.5" customHeight="1">
      <c r="B16" s="28"/>
      <c r="C16" s="275" t="s">
        <v>185</v>
      </c>
      <c r="D16" s="275"/>
      <c r="E16" s="4" t="s">
        <v>0</v>
      </c>
      <c r="F16" s="206">
        <v>21.91</v>
      </c>
      <c r="G16" s="257">
        <v>27.16</v>
      </c>
      <c r="H16" s="258"/>
      <c r="I16" s="206">
        <v>19.13</v>
      </c>
      <c r="J16" s="257">
        <v>23.52</v>
      </c>
      <c r="K16" s="4"/>
      <c r="L16" s="166">
        <v>17.989999999999998</v>
      </c>
      <c r="M16" s="167">
        <v>21.74</v>
      </c>
      <c r="N16" s="68"/>
      <c r="O16" s="41">
        <f t="shared" si="0"/>
        <v>-1.1400000000000006</v>
      </c>
      <c r="P16" s="41">
        <f t="shared" si="1"/>
        <v>-1.7800000000000011</v>
      </c>
    </row>
    <row r="17" spans="2:16" ht="16.5" customHeight="1">
      <c r="B17" s="28"/>
      <c r="C17" s="29" t="s">
        <v>0</v>
      </c>
      <c r="D17" s="11" t="s">
        <v>9</v>
      </c>
      <c r="E17" s="5" t="s">
        <v>0</v>
      </c>
      <c r="F17" s="55">
        <v>23.8</v>
      </c>
      <c r="G17" s="117">
        <v>6.05</v>
      </c>
      <c r="H17" s="259"/>
      <c r="I17" s="55">
        <v>20.190000000000001</v>
      </c>
      <c r="J17" s="117">
        <v>4.47</v>
      </c>
      <c r="K17" s="42"/>
      <c r="L17" s="159">
        <v>19.190000000000001</v>
      </c>
      <c r="M17" s="168">
        <v>3.47</v>
      </c>
      <c r="N17" s="42"/>
      <c r="O17" s="43">
        <f t="shared" si="0"/>
        <v>-1</v>
      </c>
      <c r="P17" s="43">
        <f t="shared" si="1"/>
        <v>-0.99999999999999956</v>
      </c>
    </row>
    <row r="18" spans="2:16" ht="16.5" customHeight="1">
      <c r="B18" s="28"/>
      <c r="C18" s="29" t="s">
        <v>0</v>
      </c>
      <c r="D18" s="11" t="s">
        <v>10</v>
      </c>
      <c r="E18" s="5" t="s">
        <v>0</v>
      </c>
      <c r="F18" s="55">
        <v>21.28</v>
      </c>
      <c r="G18" s="117">
        <v>9.51</v>
      </c>
      <c r="H18" s="259"/>
      <c r="I18" s="55">
        <v>20.420000000000002</v>
      </c>
      <c r="J18" s="117">
        <v>10.09</v>
      </c>
      <c r="K18" s="42"/>
      <c r="L18" s="159">
        <v>20.49</v>
      </c>
      <c r="M18" s="168">
        <v>10.76</v>
      </c>
      <c r="N18" s="42"/>
      <c r="O18" s="43">
        <f t="shared" si="0"/>
        <v>6.9999999999996732E-2</v>
      </c>
      <c r="P18" s="43">
        <f t="shared" si="1"/>
        <v>0.66999999999999993</v>
      </c>
    </row>
    <row r="19" spans="2:16" ht="16.5" customHeight="1">
      <c r="B19" s="28"/>
      <c r="C19" s="29" t="s">
        <v>0</v>
      </c>
      <c r="D19" s="11" t="s">
        <v>11</v>
      </c>
      <c r="E19" s="5" t="s">
        <v>0</v>
      </c>
      <c r="F19" s="55">
        <v>21.41</v>
      </c>
      <c r="G19" s="117">
        <v>1.6</v>
      </c>
      <c r="H19" s="259"/>
      <c r="I19" s="55">
        <v>15.39</v>
      </c>
      <c r="J19" s="117">
        <v>1.1599999999999999</v>
      </c>
      <c r="K19" s="42"/>
      <c r="L19" s="159">
        <v>13.71</v>
      </c>
      <c r="M19" s="168">
        <v>0.99</v>
      </c>
      <c r="N19" s="42"/>
      <c r="O19" s="43">
        <f t="shared" si="0"/>
        <v>-1.6799999999999997</v>
      </c>
      <c r="P19" s="43">
        <f t="shared" si="1"/>
        <v>-0.16999999999999993</v>
      </c>
    </row>
    <row r="20" spans="2:16" ht="16.5" customHeight="1">
      <c r="B20" s="28"/>
      <c r="C20" s="29" t="s">
        <v>0</v>
      </c>
      <c r="D20" s="30" t="s">
        <v>12</v>
      </c>
      <c r="E20" s="5" t="s">
        <v>0</v>
      </c>
      <c r="F20" s="55">
        <v>27.37</v>
      </c>
      <c r="G20" s="117">
        <v>8.64</v>
      </c>
      <c r="H20" s="259"/>
      <c r="I20" s="55">
        <v>24.42</v>
      </c>
      <c r="J20" s="117">
        <v>6.47</v>
      </c>
      <c r="K20" s="42"/>
      <c r="L20" s="159">
        <v>20.190000000000001</v>
      </c>
      <c r="M20" s="168">
        <v>5.21</v>
      </c>
      <c r="N20" s="42"/>
      <c r="O20" s="43">
        <f t="shared" si="0"/>
        <v>-4.2300000000000004</v>
      </c>
      <c r="P20" s="43">
        <f t="shared" si="1"/>
        <v>-1.2599999999999998</v>
      </c>
    </row>
    <row r="21" spans="2:16" ht="16.5" customHeight="1">
      <c r="B21" s="28"/>
      <c r="C21" s="29" t="s">
        <v>0</v>
      </c>
      <c r="D21" s="11" t="s">
        <v>24</v>
      </c>
      <c r="E21" s="5" t="s">
        <v>0</v>
      </c>
      <c r="F21" s="55">
        <v>9.19</v>
      </c>
      <c r="G21" s="117">
        <v>1.36</v>
      </c>
      <c r="H21" s="259"/>
      <c r="I21" s="55">
        <v>7.68</v>
      </c>
      <c r="J21" s="117">
        <v>1.34</v>
      </c>
      <c r="K21" s="42"/>
      <c r="L21" s="159">
        <v>7.6</v>
      </c>
      <c r="M21" s="168">
        <v>1.31</v>
      </c>
      <c r="N21" s="42"/>
      <c r="O21" s="43">
        <f t="shared" si="0"/>
        <v>-8.0000000000000071E-2</v>
      </c>
      <c r="P21" s="43">
        <f t="shared" si="1"/>
        <v>-3.0000000000000027E-2</v>
      </c>
    </row>
    <row r="22" spans="2:16" ht="16.5" customHeight="1">
      <c r="B22" s="28"/>
      <c r="C22" s="275" t="s">
        <v>186</v>
      </c>
      <c r="D22" s="275"/>
      <c r="E22" s="4" t="s">
        <v>0</v>
      </c>
      <c r="F22" s="206">
        <v>19.04</v>
      </c>
      <c r="G22" s="257">
        <v>25.99</v>
      </c>
      <c r="H22" s="258"/>
      <c r="I22" s="206">
        <v>18.75</v>
      </c>
      <c r="J22" s="257">
        <v>28.14</v>
      </c>
      <c r="K22" s="4"/>
      <c r="L22" s="166">
        <v>20.61</v>
      </c>
      <c r="M22" s="167">
        <v>32.090000000000003</v>
      </c>
      <c r="N22" s="68"/>
      <c r="O22" s="41">
        <f t="shared" si="0"/>
        <v>1.8599999999999994</v>
      </c>
      <c r="P22" s="41">
        <f t="shared" si="1"/>
        <v>3.9500000000000028</v>
      </c>
    </row>
    <row r="23" spans="2:16" ht="16.5" customHeight="1">
      <c r="B23" s="28"/>
      <c r="C23" s="29" t="s">
        <v>0</v>
      </c>
      <c r="D23" s="11" t="s">
        <v>64</v>
      </c>
      <c r="E23" s="5" t="s">
        <v>0</v>
      </c>
      <c r="F23" s="55">
        <v>21.91</v>
      </c>
      <c r="G23" s="117">
        <v>12.29</v>
      </c>
      <c r="H23" s="259"/>
      <c r="I23" s="55">
        <v>23.86</v>
      </c>
      <c r="J23" s="117">
        <v>14.18</v>
      </c>
      <c r="K23" s="42"/>
      <c r="L23" s="159">
        <v>24.97</v>
      </c>
      <c r="M23" s="168">
        <v>15.77</v>
      </c>
      <c r="N23" s="42"/>
      <c r="O23" s="43">
        <f t="shared" si="0"/>
        <v>1.1099999999999994</v>
      </c>
      <c r="P23" s="43">
        <f t="shared" si="1"/>
        <v>1.5899999999999999</v>
      </c>
    </row>
    <row r="24" spans="2:16" ht="16.5" customHeight="1">
      <c r="B24" s="28"/>
      <c r="C24" s="29" t="s">
        <v>0</v>
      </c>
      <c r="D24" s="11" t="s">
        <v>25</v>
      </c>
      <c r="E24" s="5" t="s">
        <v>0</v>
      </c>
      <c r="F24" s="55">
        <v>15.92</v>
      </c>
      <c r="G24" s="117">
        <v>2.75</v>
      </c>
      <c r="H24" s="259"/>
      <c r="I24" s="55">
        <v>16.18</v>
      </c>
      <c r="J24" s="117">
        <v>2.96</v>
      </c>
      <c r="K24" s="42"/>
      <c r="L24" s="159">
        <v>17.11</v>
      </c>
      <c r="M24" s="168">
        <v>3.72</v>
      </c>
      <c r="N24" s="42"/>
      <c r="O24" s="43">
        <f t="shared" si="0"/>
        <v>0.92999999999999972</v>
      </c>
      <c r="P24" s="43">
        <f t="shared" si="1"/>
        <v>0.76000000000000023</v>
      </c>
    </row>
    <row r="25" spans="2:16" ht="16.5" customHeight="1">
      <c r="B25" s="28"/>
      <c r="C25" s="29" t="s">
        <v>0</v>
      </c>
      <c r="D25" s="11" t="s">
        <v>26</v>
      </c>
      <c r="E25" s="5" t="s">
        <v>0</v>
      </c>
      <c r="F25" s="55">
        <v>27.57</v>
      </c>
      <c r="G25" s="117">
        <v>6.92</v>
      </c>
      <c r="H25" s="259"/>
      <c r="I25" s="55">
        <v>23.69</v>
      </c>
      <c r="J25" s="117">
        <v>6.22</v>
      </c>
      <c r="K25" s="42"/>
      <c r="L25" s="159">
        <v>24.38</v>
      </c>
      <c r="M25" s="168">
        <v>7.2</v>
      </c>
      <c r="N25" s="42"/>
      <c r="O25" s="43">
        <f t="shared" si="0"/>
        <v>0.68999999999999773</v>
      </c>
      <c r="P25" s="43">
        <f t="shared" si="1"/>
        <v>0.98000000000000043</v>
      </c>
    </row>
    <row r="26" spans="2:16" ht="16.5" customHeight="1">
      <c r="B26" s="28"/>
      <c r="C26" s="29" t="s">
        <v>0</v>
      </c>
      <c r="D26" s="11" t="s">
        <v>27</v>
      </c>
      <c r="E26" s="5" t="s">
        <v>0</v>
      </c>
      <c r="F26" s="55">
        <v>10.6</v>
      </c>
      <c r="G26" s="117">
        <v>4.04</v>
      </c>
      <c r="H26" s="259"/>
      <c r="I26" s="55">
        <v>10.38</v>
      </c>
      <c r="J26" s="117">
        <v>4.79</v>
      </c>
      <c r="K26" s="42"/>
      <c r="L26" s="159">
        <v>13.1</v>
      </c>
      <c r="M26" s="168">
        <v>5.41</v>
      </c>
      <c r="N26" s="42"/>
      <c r="O26" s="43">
        <f t="shared" si="0"/>
        <v>2.7199999999999989</v>
      </c>
      <c r="P26" s="43">
        <f t="shared" si="1"/>
        <v>0.62000000000000011</v>
      </c>
    </row>
    <row r="27" spans="2:16" s="128" customFormat="1" ht="16.5" customHeight="1">
      <c r="B27" s="127"/>
      <c r="C27" s="275" t="s">
        <v>216</v>
      </c>
      <c r="D27" s="275"/>
      <c r="E27" s="4"/>
      <c r="F27" s="52">
        <v>16.46</v>
      </c>
      <c r="G27" s="125">
        <v>1.2</v>
      </c>
      <c r="H27" s="260"/>
      <c r="I27" s="52">
        <v>13.87</v>
      </c>
      <c r="J27" s="125">
        <v>1.58</v>
      </c>
      <c r="K27" s="40"/>
      <c r="L27" s="158">
        <v>12.46</v>
      </c>
      <c r="M27" s="171">
        <v>1.53</v>
      </c>
      <c r="N27" s="40"/>
      <c r="O27" s="41">
        <f t="shared" si="0"/>
        <v>-1.4099999999999984</v>
      </c>
      <c r="P27" s="41">
        <f t="shared" si="1"/>
        <v>-5.0000000000000044E-2</v>
      </c>
    </row>
    <row r="28" spans="2:16" ht="16.5" customHeight="1">
      <c r="B28" s="275" t="s">
        <v>187</v>
      </c>
      <c r="C28" s="275"/>
      <c r="D28" s="275"/>
      <c r="E28" s="4" t="s">
        <v>0</v>
      </c>
      <c r="F28" s="206">
        <v>0.18</v>
      </c>
      <c r="G28" s="257">
        <v>0.03</v>
      </c>
      <c r="H28" s="258"/>
      <c r="I28" s="206">
        <v>0.11</v>
      </c>
      <c r="J28" s="257">
        <v>0.02</v>
      </c>
      <c r="K28" s="4"/>
      <c r="L28" s="166">
        <v>0.21</v>
      </c>
      <c r="M28" s="167">
        <v>0.04</v>
      </c>
      <c r="N28" s="68"/>
      <c r="O28" s="41">
        <f t="shared" si="0"/>
        <v>9.9999999999999992E-2</v>
      </c>
      <c r="P28" s="41">
        <f t="shared" si="1"/>
        <v>0.02</v>
      </c>
    </row>
    <row r="29" spans="2:16" ht="16.5" customHeight="1">
      <c r="B29" s="28"/>
      <c r="C29" s="29" t="s">
        <v>0</v>
      </c>
      <c r="D29" s="11" t="s">
        <v>188</v>
      </c>
      <c r="E29" s="5" t="s">
        <v>0</v>
      </c>
      <c r="F29" s="55">
        <v>0.19</v>
      </c>
      <c r="G29" s="117">
        <v>0.03</v>
      </c>
      <c r="H29" s="259"/>
      <c r="I29" s="55">
        <v>0.11</v>
      </c>
      <c r="J29" s="117">
        <v>0.02</v>
      </c>
      <c r="K29" s="42"/>
      <c r="L29" s="159">
        <v>0.23</v>
      </c>
      <c r="M29" s="168">
        <v>0.03</v>
      </c>
      <c r="N29" s="42"/>
      <c r="O29" s="43">
        <f t="shared" si="0"/>
        <v>0.12000000000000001</v>
      </c>
      <c r="P29" s="43">
        <f t="shared" si="1"/>
        <v>9.9999999999999985E-3</v>
      </c>
    </row>
    <row r="30" spans="2:16" ht="16.5" customHeight="1">
      <c r="B30" s="28"/>
      <c r="C30" s="29" t="s">
        <v>0</v>
      </c>
      <c r="D30" s="11" t="s">
        <v>189</v>
      </c>
      <c r="E30" s="5" t="s">
        <v>0</v>
      </c>
      <c r="F30" s="55">
        <v>0.15</v>
      </c>
      <c r="G30" s="117">
        <v>0</v>
      </c>
      <c r="H30" s="259"/>
      <c r="I30" s="55">
        <v>0.11</v>
      </c>
      <c r="J30" s="117">
        <v>0</v>
      </c>
      <c r="K30" s="42"/>
      <c r="L30" s="159">
        <v>0.14000000000000001</v>
      </c>
      <c r="M30" s="168">
        <v>0.01</v>
      </c>
      <c r="N30" s="42"/>
      <c r="O30" s="43">
        <f t="shared" si="0"/>
        <v>3.0000000000000013E-2</v>
      </c>
      <c r="P30" s="43">
        <f t="shared" si="1"/>
        <v>0.01</v>
      </c>
    </row>
    <row r="31" spans="2:16" ht="16.5" customHeight="1">
      <c r="B31" s="275" t="s">
        <v>15</v>
      </c>
      <c r="C31" s="275"/>
      <c r="D31" s="275"/>
      <c r="E31" s="5" t="s">
        <v>0</v>
      </c>
      <c r="F31" s="206">
        <v>0.01</v>
      </c>
      <c r="G31" s="257">
        <v>0</v>
      </c>
      <c r="H31" s="261"/>
      <c r="I31" s="206">
        <v>0.03</v>
      </c>
      <c r="J31" s="257">
        <v>0.01</v>
      </c>
      <c r="K31" s="5"/>
      <c r="L31" s="166">
        <v>0</v>
      </c>
      <c r="M31" s="167">
        <v>0</v>
      </c>
      <c r="N31" s="68"/>
      <c r="O31" s="41">
        <f t="shared" si="0"/>
        <v>-0.03</v>
      </c>
      <c r="P31" s="41">
        <f t="shared" si="1"/>
        <v>-0.01</v>
      </c>
    </row>
    <row r="32" spans="2:16" ht="16.5" customHeight="1">
      <c r="B32" s="275" t="s">
        <v>190</v>
      </c>
      <c r="C32" s="276"/>
      <c r="D32" s="276"/>
      <c r="E32" s="4" t="s">
        <v>0</v>
      </c>
      <c r="F32" s="206">
        <v>6</v>
      </c>
      <c r="G32" s="257">
        <v>13.94</v>
      </c>
      <c r="H32" s="258"/>
      <c r="I32" s="206">
        <v>5.37</v>
      </c>
      <c r="J32" s="257">
        <v>15.64</v>
      </c>
      <c r="K32" s="4"/>
      <c r="L32" s="166">
        <v>4.17</v>
      </c>
      <c r="M32" s="167">
        <v>14.72</v>
      </c>
      <c r="N32" s="68"/>
      <c r="O32" s="41">
        <f t="shared" si="0"/>
        <v>-1.2000000000000002</v>
      </c>
      <c r="P32" s="41">
        <f t="shared" si="1"/>
        <v>-0.91999999999999993</v>
      </c>
    </row>
    <row r="33" spans="2:16" ht="16.5" customHeight="1">
      <c r="B33" s="28"/>
      <c r="C33" s="275" t="s">
        <v>191</v>
      </c>
      <c r="D33" s="275"/>
      <c r="E33" s="4" t="s">
        <v>0</v>
      </c>
      <c r="F33" s="206">
        <v>7.42</v>
      </c>
      <c r="G33" s="257">
        <v>4.22</v>
      </c>
      <c r="H33" s="258"/>
      <c r="I33" s="206">
        <v>6.45</v>
      </c>
      <c r="J33" s="257">
        <v>4.3</v>
      </c>
      <c r="K33" s="4"/>
      <c r="L33" s="166">
        <v>4.21</v>
      </c>
      <c r="M33" s="167">
        <v>3.3</v>
      </c>
      <c r="N33" s="68"/>
      <c r="O33" s="41">
        <f t="shared" si="0"/>
        <v>-2.2400000000000002</v>
      </c>
      <c r="P33" s="41">
        <f t="shared" si="1"/>
        <v>-1</v>
      </c>
    </row>
    <row r="34" spans="2:16" ht="16.5" customHeight="1">
      <c r="B34" s="28"/>
      <c r="C34" s="29" t="s">
        <v>0</v>
      </c>
      <c r="D34" s="11" t="s">
        <v>28</v>
      </c>
      <c r="E34" s="5" t="s">
        <v>0</v>
      </c>
      <c r="F34" s="55">
        <v>1.43</v>
      </c>
      <c r="G34" s="117">
        <v>0.45</v>
      </c>
      <c r="H34" s="259"/>
      <c r="I34" s="55">
        <v>1.35</v>
      </c>
      <c r="J34" s="117">
        <v>0.54</v>
      </c>
      <c r="K34" s="42"/>
      <c r="L34" s="159">
        <v>1.1000000000000001</v>
      </c>
      <c r="M34" s="168">
        <v>0.57999999999999996</v>
      </c>
      <c r="N34" s="42"/>
      <c r="O34" s="43">
        <f t="shared" si="0"/>
        <v>-0.25</v>
      </c>
      <c r="P34" s="43">
        <f t="shared" si="1"/>
        <v>3.9999999999999925E-2</v>
      </c>
    </row>
    <row r="35" spans="2:16" ht="16.5" customHeight="1">
      <c r="B35" s="28"/>
      <c r="C35" s="29" t="s">
        <v>0</v>
      </c>
      <c r="D35" s="11" t="s">
        <v>17</v>
      </c>
      <c r="E35" s="5" t="s">
        <v>0</v>
      </c>
      <c r="F35" s="55">
        <v>14.86</v>
      </c>
      <c r="G35" s="117">
        <v>3.77</v>
      </c>
      <c r="H35" s="259"/>
      <c r="I35" s="55">
        <v>14.22</v>
      </c>
      <c r="J35" s="117">
        <v>3.76</v>
      </c>
      <c r="K35" s="42"/>
      <c r="L35" s="159">
        <v>10.51</v>
      </c>
      <c r="M35" s="168">
        <v>2.72</v>
      </c>
      <c r="N35" s="42"/>
      <c r="O35" s="43">
        <f t="shared" si="0"/>
        <v>-3.7100000000000009</v>
      </c>
      <c r="P35" s="43">
        <f t="shared" si="1"/>
        <v>-1.0399999999999996</v>
      </c>
    </row>
    <row r="36" spans="2:16" ht="16.5" customHeight="1">
      <c r="B36" s="28"/>
      <c r="C36" s="275" t="s">
        <v>192</v>
      </c>
      <c r="D36" s="275"/>
      <c r="E36" s="4" t="s">
        <v>0</v>
      </c>
      <c r="F36" s="206">
        <v>6.95</v>
      </c>
      <c r="G36" s="257">
        <v>7.02</v>
      </c>
      <c r="H36" s="258"/>
      <c r="I36" s="206">
        <v>6.1</v>
      </c>
      <c r="J36" s="257">
        <v>7.78</v>
      </c>
      <c r="K36" s="4"/>
      <c r="L36" s="166">
        <v>5.61</v>
      </c>
      <c r="M36" s="167">
        <v>8.9600000000000009</v>
      </c>
      <c r="N36" s="68"/>
      <c r="O36" s="41">
        <f t="shared" si="0"/>
        <v>-0.48999999999999932</v>
      </c>
      <c r="P36" s="41">
        <f t="shared" si="1"/>
        <v>1.1800000000000006</v>
      </c>
    </row>
    <row r="37" spans="2:16" ht="16.5" customHeight="1">
      <c r="B37" s="28"/>
      <c r="C37" s="29" t="s">
        <v>0</v>
      </c>
      <c r="D37" s="11" t="s">
        <v>29</v>
      </c>
      <c r="E37" s="5" t="s">
        <v>0</v>
      </c>
      <c r="F37" s="55">
        <v>5.18</v>
      </c>
      <c r="G37" s="117">
        <v>0.98</v>
      </c>
      <c r="H37" s="259"/>
      <c r="I37" s="55">
        <v>4.2</v>
      </c>
      <c r="J37" s="117">
        <v>0.95</v>
      </c>
      <c r="K37" s="42"/>
      <c r="L37" s="159">
        <v>6.44</v>
      </c>
      <c r="M37" s="168">
        <v>1.78</v>
      </c>
      <c r="N37" s="42"/>
      <c r="O37" s="43">
        <f t="shared" si="0"/>
        <v>2.2400000000000002</v>
      </c>
      <c r="P37" s="43">
        <f t="shared" si="1"/>
        <v>0.83000000000000007</v>
      </c>
    </row>
    <row r="38" spans="2:16" ht="16.5" customHeight="1">
      <c r="B38" s="28"/>
      <c r="C38" s="29" t="s">
        <v>0</v>
      </c>
      <c r="D38" s="11" t="s">
        <v>30</v>
      </c>
      <c r="E38" s="5" t="s">
        <v>0</v>
      </c>
      <c r="F38" s="55">
        <v>2.38</v>
      </c>
      <c r="G38" s="117">
        <v>0.54</v>
      </c>
      <c r="H38" s="259"/>
      <c r="I38" s="55">
        <v>1.96</v>
      </c>
      <c r="J38" s="117">
        <v>0.5</v>
      </c>
      <c r="K38" s="42"/>
      <c r="L38" s="159">
        <v>2.06</v>
      </c>
      <c r="M38" s="168">
        <v>0.61</v>
      </c>
      <c r="N38" s="42"/>
      <c r="O38" s="43">
        <f t="shared" si="0"/>
        <v>0.10000000000000009</v>
      </c>
      <c r="P38" s="43">
        <f t="shared" si="1"/>
        <v>0.10999999999999999</v>
      </c>
    </row>
    <row r="39" spans="2:16" ht="16.5" customHeight="1">
      <c r="B39" s="28"/>
      <c r="C39" s="29" t="s">
        <v>0</v>
      </c>
      <c r="D39" s="11" t="s">
        <v>31</v>
      </c>
      <c r="E39" s="5" t="s">
        <v>0</v>
      </c>
      <c r="F39" s="55">
        <v>1.44</v>
      </c>
      <c r="G39" s="117">
        <v>0.34</v>
      </c>
      <c r="H39" s="259"/>
      <c r="I39" s="55">
        <v>0.92</v>
      </c>
      <c r="J39" s="117">
        <v>0.28999999999999998</v>
      </c>
      <c r="K39" s="42"/>
      <c r="L39" s="159">
        <v>0.53</v>
      </c>
      <c r="M39" s="168">
        <v>0.21</v>
      </c>
      <c r="N39" s="42"/>
      <c r="O39" s="43">
        <f t="shared" si="0"/>
        <v>-0.39</v>
      </c>
      <c r="P39" s="43">
        <f t="shared" si="1"/>
        <v>-7.9999999999999988E-2</v>
      </c>
    </row>
    <row r="40" spans="2:16" ht="16.5" customHeight="1">
      <c r="B40" s="28"/>
      <c r="C40" s="29" t="s">
        <v>0</v>
      </c>
      <c r="D40" s="11" t="s">
        <v>32</v>
      </c>
      <c r="E40" s="5" t="s">
        <v>0</v>
      </c>
      <c r="F40" s="55">
        <v>13.76</v>
      </c>
      <c r="G40" s="117">
        <v>3.49</v>
      </c>
      <c r="H40" s="259"/>
      <c r="I40" s="55">
        <v>11.38</v>
      </c>
      <c r="J40" s="117">
        <v>3.84</v>
      </c>
      <c r="K40" s="42"/>
      <c r="L40" s="159">
        <v>9.09</v>
      </c>
      <c r="M40" s="168">
        <v>3.93</v>
      </c>
      <c r="N40" s="42"/>
      <c r="O40" s="43">
        <f t="shared" si="0"/>
        <v>-2.2900000000000009</v>
      </c>
      <c r="P40" s="43">
        <f t="shared" si="1"/>
        <v>9.0000000000000302E-2</v>
      </c>
    </row>
    <row r="41" spans="2:16" ht="16.5" customHeight="1">
      <c r="B41" s="28"/>
      <c r="C41" s="29" t="s">
        <v>0</v>
      </c>
      <c r="D41" s="11" t="s">
        <v>33</v>
      </c>
      <c r="E41" s="5" t="s">
        <v>0</v>
      </c>
      <c r="F41" s="55">
        <v>16.45</v>
      </c>
      <c r="G41" s="117">
        <v>1.66</v>
      </c>
      <c r="H41" s="259"/>
      <c r="I41" s="55">
        <v>15.21</v>
      </c>
      <c r="J41" s="117">
        <v>2.2000000000000002</v>
      </c>
      <c r="K41" s="42"/>
      <c r="L41" s="159">
        <v>12.44</v>
      </c>
      <c r="M41" s="168">
        <v>2.44</v>
      </c>
      <c r="N41" s="42"/>
      <c r="O41" s="43">
        <f t="shared" si="0"/>
        <v>-2.7700000000000014</v>
      </c>
      <c r="P41" s="43">
        <f t="shared" si="1"/>
        <v>0.23999999999999977</v>
      </c>
    </row>
    <row r="42" spans="2:16" ht="16.5" customHeight="1">
      <c r="B42" s="28"/>
      <c r="C42" s="275" t="s">
        <v>193</v>
      </c>
      <c r="D42" s="275"/>
      <c r="E42" s="4" t="s">
        <v>0</v>
      </c>
      <c r="F42" s="206">
        <v>1.65</v>
      </c>
      <c r="G42" s="257">
        <v>0.74</v>
      </c>
      <c r="H42" s="258"/>
      <c r="I42" s="206">
        <v>1.02</v>
      </c>
      <c r="J42" s="257">
        <v>0.59</v>
      </c>
      <c r="K42" s="4"/>
      <c r="L42" s="166">
        <v>0.52</v>
      </c>
      <c r="M42" s="167">
        <v>0.37</v>
      </c>
      <c r="N42" s="68"/>
      <c r="O42" s="41">
        <f t="shared" si="0"/>
        <v>-0.5</v>
      </c>
      <c r="P42" s="41">
        <f t="shared" si="1"/>
        <v>-0.21999999999999997</v>
      </c>
    </row>
    <row r="43" spans="2:16" ht="16.5" customHeight="1">
      <c r="B43" s="28"/>
      <c r="C43" s="29" t="s">
        <v>0</v>
      </c>
      <c r="D43" s="11" t="s">
        <v>34</v>
      </c>
      <c r="E43" s="5" t="s">
        <v>0</v>
      </c>
      <c r="F43" s="55">
        <v>0.63</v>
      </c>
      <c r="G43" s="117">
        <v>0.09</v>
      </c>
      <c r="H43" s="259"/>
      <c r="I43" s="55">
        <v>0.49</v>
      </c>
      <c r="J43" s="117">
        <v>0.1</v>
      </c>
      <c r="K43" s="42"/>
      <c r="L43" s="159">
        <v>0.19</v>
      </c>
      <c r="M43" s="168">
        <v>0.05</v>
      </c>
      <c r="N43" s="42"/>
      <c r="O43" s="43">
        <f t="shared" si="0"/>
        <v>-0.3</v>
      </c>
      <c r="P43" s="43">
        <f t="shared" si="1"/>
        <v>-0.05</v>
      </c>
    </row>
    <row r="44" spans="2:16" ht="16.5" customHeight="1">
      <c r="B44" s="28"/>
      <c r="C44" s="29" t="s">
        <v>0</v>
      </c>
      <c r="D44" s="11" t="s">
        <v>20</v>
      </c>
      <c r="E44" s="5" t="s">
        <v>0</v>
      </c>
      <c r="F44" s="55">
        <v>3.85</v>
      </c>
      <c r="G44" s="117">
        <v>0.61</v>
      </c>
      <c r="H44" s="259"/>
      <c r="I44" s="55">
        <v>1.96</v>
      </c>
      <c r="J44" s="117">
        <v>0.37</v>
      </c>
      <c r="K44" s="42"/>
      <c r="L44" s="159">
        <v>1.48</v>
      </c>
      <c r="M44" s="168">
        <v>0.28999999999999998</v>
      </c>
      <c r="N44" s="42"/>
      <c r="O44" s="43">
        <f t="shared" si="0"/>
        <v>-0.48</v>
      </c>
      <c r="P44" s="43">
        <f t="shared" si="1"/>
        <v>-8.0000000000000016E-2</v>
      </c>
    </row>
    <row r="45" spans="2:16" ht="16.5" customHeight="1">
      <c r="B45" s="28"/>
      <c r="C45" s="29" t="s">
        <v>0</v>
      </c>
      <c r="D45" s="11" t="s">
        <v>21</v>
      </c>
      <c r="E45" s="5" t="s">
        <v>0</v>
      </c>
      <c r="F45" s="55">
        <v>0.25</v>
      </c>
      <c r="G45" s="117">
        <v>0.04</v>
      </c>
      <c r="H45" s="259"/>
      <c r="I45" s="55">
        <v>0.64</v>
      </c>
      <c r="J45" s="117">
        <v>0.12</v>
      </c>
      <c r="K45" s="42"/>
      <c r="L45" s="159">
        <v>0.15</v>
      </c>
      <c r="M45" s="168">
        <v>0.04</v>
      </c>
      <c r="N45" s="42"/>
      <c r="O45" s="43">
        <f t="shared" si="0"/>
        <v>-0.49</v>
      </c>
      <c r="P45" s="43">
        <f t="shared" si="1"/>
        <v>-7.9999999999999988E-2</v>
      </c>
    </row>
    <row r="46" spans="2:16" ht="16.5" customHeight="1">
      <c r="B46" s="28"/>
      <c r="C46" s="275" t="s">
        <v>194</v>
      </c>
      <c r="D46" s="275"/>
      <c r="E46" s="4" t="s">
        <v>0</v>
      </c>
      <c r="F46" s="206">
        <v>6.62</v>
      </c>
      <c r="G46" s="257">
        <v>1.96</v>
      </c>
      <c r="H46" s="258"/>
      <c r="I46" s="206">
        <v>7.57</v>
      </c>
      <c r="J46" s="257">
        <v>2.97</v>
      </c>
      <c r="K46" s="4"/>
      <c r="L46" s="166">
        <v>4.8600000000000003</v>
      </c>
      <c r="M46" s="167">
        <v>2.09</v>
      </c>
      <c r="N46" s="68"/>
      <c r="O46" s="41">
        <f t="shared" si="0"/>
        <v>-2.71</v>
      </c>
      <c r="P46" s="41">
        <f t="shared" si="1"/>
        <v>-0.88000000000000034</v>
      </c>
    </row>
    <row r="47" spans="2:16" ht="16.5" customHeight="1">
      <c r="B47" s="28"/>
      <c r="C47" s="29" t="s">
        <v>0</v>
      </c>
      <c r="D47" s="11" t="s">
        <v>23</v>
      </c>
      <c r="E47" s="5" t="s">
        <v>0</v>
      </c>
      <c r="F47" s="55">
        <v>8.8699999999999992</v>
      </c>
      <c r="G47" s="117">
        <v>1.49</v>
      </c>
      <c r="H47" s="259"/>
      <c r="I47" s="55">
        <v>9.32</v>
      </c>
      <c r="J47" s="117">
        <v>2.17</v>
      </c>
      <c r="K47" s="42"/>
      <c r="L47" s="159">
        <v>6.12</v>
      </c>
      <c r="M47" s="168">
        <v>1.58</v>
      </c>
      <c r="N47" s="42"/>
      <c r="O47" s="43">
        <f t="shared" si="0"/>
        <v>-3.2</v>
      </c>
      <c r="P47" s="43">
        <f t="shared" si="1"/>
        <v>-0.58999999999999986</v>
      </c>
    </row>
    <row r="48" spans="2:16" ht="16.5" customHeight="1">
      <c r="B48" s="28"/>
      <c r="C48" s="29" t="s">
        <v>0</v>
      </c>
      <c r="D48" s="11" t="s">
        <v>35</v>
      </c>
      <c r="E48" s="5" t="s">
        <v>0</v>
      </c>
      <c r="F48" s="55">
        <v>6.57</v>
      </c>
      <c r="G48" s="117">
        <v>0.42</v>
      </c>
      <c r="H48" s="259"/>
      <c r="I48" s="55">
        <v>9.77</v>
      </c>
      <c r="J48" s="117">
        <v>0.7</v>
      </c>
      <c r="K48" s="42"/>
      <c r="L48" s="159">
        <v>5.17</v>
      </c>
      <c r="M48" s="168">
        <v>0.35</v>
      </c>
      <c r="N48" s="42"/>
      <c r="O48" s="43">
        <f t="shared" si="0"/>
        <v>-4.5999999999999996</v>
      </c>
      <c r="P48" s="43">
        <f t="shared" si="1"/>
        <v>-0.35</v>
      </c>
    </row>
    <row r="49" spans="2:16" ht="16.5" customHeight="1">
      <c r="B49" s="28"/>
      <c r="C49" s="29"/>
      <c r="D49" s="11" t="s">
        <v>36</v>
      </c>
      <c r="E49" s="5"/>
      <c r="F49" s="55">
        <v>0.84</v>
      </c>
      <c r="G49" s="117">
        <v>0.05</v>
      </c>
      <c r="H49" s="259"/>
      <c r="I49" s="55">
        <v>1.1499999999999999</v>
      </c>
      <c r="J49" s="117">
        <v>0.1</v>
      </c>
      <c r="K49" s="42"/>
      <c r="L49" s="159">
        <v>1.54</v>
      </c>
      <c r="M49" s="168">
        <v>0.16</v>
      </c>
      <c r="N49" s="42"/>
      <c r="O49" s="43">
        <f t="shared" si="0"/>
        <v>0.39000000000000012</v>
      </c>
      <c r="P49" s="43">
        <f t="shared" si="1"/>
        <v>0.06</v>
      </c>
    </row>
    <row r="50" spans="2:16" ht="16.5" customHeight="1">
      <c r="B50" s="276" t="s">
        <v>195</v>
      </c>
      <c r="C50" s="276"/>
      <c r="D50" s="276"/>
      <c r="E50" s="4" t="s">
        <v>0</v>
      </c>
      <c r="F50" s="66">
        <v>0</v>
      </c>
      <c r="G50" s="81">
        <v>0</v>
      </c>
      <c r="H50" s="258"/>
      <c r="I50" s="66">
        <v>0</v>
      </c>
      <c r="J50" s="81">
        <v>0</v>
      </c>
      <c r="K50" s="4"/>
      <c r="L50" s="161">
        <v>0</v>
      </c>
      <c r="M50" s="169">
        <v>0</v>
      </c>
      <c r="N50" s="68"/>
      <c r="O50" s="45">
        <f t="shared" si="0"/>
        <v>0</v>
      </c>
      <c r="P50" s="45">
        <f t="shared" si="1"/>
        <v>0</v>
      </c>
    </row>
    <row r="51" spans="2:16" ht="16.5" customHeight="1" thickBot="1">
      <c r="B51" s="277" t="s">
        <v>196</v>
      </c>
      <c r="C51" s="277"/>
      <c r="D51" s="277"/>
      <c r="E51" s="6" t="s">
        <v>0</v>
      </c>
      <c r="F51" s="61">
        <v>16.010000000000002</v>
      </c>
      <c r="G51" s="121">
        <v>100</v>
      </c>
      <c r="H51" s="262"/>
      <c r="I51" s="61">
        <v>14</v>
      </c>
      <c r="J51" s="121">
        <v>100</v>
      </c>
      <c r="K51" s="71"/>
      <c r="L51" s="162">
        <v>12.72</v>
      </c>
      <c r="M51" s="172">
        <v>100</v>
      </c>
      <c r="N51" s="63"/>
      <c r="O51" s="64">
        <f t="shared" si="0"/>
        <v>-1.2799999999999994</v>
      </c>
      <c r="P51" s="64">
        <f t="shared" si="1"/>
        <v>0</v>
      </c>
    </row>
    <row r="52" spans="2:16" ht="9" customHeight="1" thickTop="1">
      <c r="B52"/>
      <c r="C52" s="7"/>
      <c r="D52" s="7"/>
    </row>
    <row r="53" spans="2:16">
      <c r="B53"/>
      <c r="C53" s="7"/>
      <c r="D53" s="12" t="s">
        <v>220</v>
      </c>
    </row>
    <row r="54" spans="2:16">
      <c r="D54" s="37" t="s">
        <v>219</v>
      </c>
      <c r="E54" s="12"/>
      <c r="H54" s="263"/>
      <c r="K54" s="12"/>
      <c r="N54" s="12"/>
    </row>
  </sheetData>
  <mergeCells count="23">
    <mergeCell ref="C16:D16"/>
    <mergeCell ref="B7:D7"/>
    <mergeCell ref="B8:D8"/>
    <mergeCell ref="B9:D9"/>
    <mergeCell ref="B10:D10"/>
    <mergeCell ref="C11:D11"/>
    <mergeCell ref="B3:P3"/>
    <mergeCell ref="B4:P4"/>
    <mergeCell ref="F6:G6"/>
    <mergeCell ref="I6:J6"/>
    <mergeCell ref="L6:M6"/>
    <mergeCell ref="O6:P6"/>
    <mergeCell ref="B50:D50"/>
    <mergeCell ref="B51:D51"/>
    <mergeCell ref="C22:D22"/>
    <mergeCell ref="B28:D28"/>
    <mergeCell ref="B31:D31"/>
    <mergeCell ref="B32:D32"/>
    <mergeCell ref="C33:D33"/>
    <mergeCell ref="C36:D36"/>
    <mergeCell ref="C42:D42"/>
    <mergeCell ref="C46:D46"/>
    <mergeCell ref="C27:D27"/>
  </mergeCells>
  <phoneticPr fontId="1" type="noConversion"/>
  <hyperlinks>
    <hyperlink ref="A1" location="목차!A1" display="(목차로 이동)" xr:uid="{00000000-0004-0000-0A00-000000000000}"/>
  </hyperlinks>
  <pageMargins left="0.7" right="0.7" top="0.75" bottom="0.75" header="0.3" footer="0.3"/>
  <pageSetup paperSize="9" scale="75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5" tint="0.79998168889431442"/>
  </sheetPr>
  <dimension ref="A1:Q54"/>
  <sheetViews>
    <sheetView view="pageBreakPreview" topLeftCell="A31" zoomScaleNormal="100" zoomScaleSheetLayoutView="100" workbookViewId="0">
      <selection activeCell="D52" sqref="D52"/>
    </sheetView>
  </sheetViews>
  <sheetFormatPr defaultRowHeight="16.5"/>
  <cols>
    <col min="1" max="1" width="2.625" customWidth="1"/>
    <col min="2" max="2" width="2.125" customWidth="1"/>
    <col min="3" max="3" width="2.125" style="7" customWidth="1"/>
    <col min="4" max="4" width="26.625" style="7" customWidth="1"/>
    <col min="5" max="5" width="1.625" customWidth="1"/>
    <col min="6" max="6" width="8.625" style="23" customWidth="1"/>
    <col min="7" max="7" width="1.625" style="23" customWidth="1"/>
    <col min="8" max="8" width="8.625" style="23" customWidth="1"/>
    <col min="9" max="9" width="1.625" customWidth="1"/>
    <col min="10" max="10" width="8.625" customWidth="1"/>
    <col min="11" max="11" width="1.625" customWidth="1"/>
    <col min="12" max="13" width="9" bestFit="1" customWidth="1"/>
  </cols>
  <sheetData>
    <row r="1" spans="1:17">
      <c r="A1" s="32" t="s">
        <v>200</v>
      </c>
      <c r="D1" s="35"/>
      <c r="L1" s="105"/>
      <c r="M1" s="105"/>
    </row>
    <row r="2" spans="1:17" ht="6" customHeight="1">
      <c r="A2" s="32"/>
      <c r="D2" s="35"/>
      <c r="L2" s="105"/>
      <c r="M2" s="105"/>
    </row>
    <row r="3" spans="1:17" ht="18">
      <c r="B3" s="278" t="s">
        <v>201</v>
      </c>
      <c r="C3" s="278"/>
      <c r="D3" s="278"/>
      <c r="E3" s="278"/>
      <c r="F3" s="278"/>
      <c r="G3" s="278"/>
      <c r="H3" s="278"/>
      <c r="I3" s="278"/>
      <c r="J3" s="278"/>
      <c r="K3" s="278"/>
      <c r="L3" s="278"/>
      <c r="M3" s="278"/>
      <c r="N3" s="33"/>
      <c r="O3" s="33"/>
      <c r="P3" s="33"/>
      <c r="Q3" s="33"/>
    </row>
    <row r="4" spans="1:17" ht="18">
      <c r="B4" s="286"/>
      <c r="C4" s="286"/>
      <c r="D4" s="286"/>
      <c r="E4" s="286"/>
      <c r="F4" s="286"/>
      <c r="G4" s="286"/>
      <c r="H4" s="286"/>
      <c r="I4" s="286"/>
      <c r="J4" s="286"/>
      <c r="K4" s="286"/>
      <c r="L4" s="286"/>
      <c r="M4" s="286"/>
      <c r="N4" s="33"/>
      <c r="O4" s="33"/>
      <c r="P4" s="33"/>
      <c r="Q4" s="33"/>
    </row>
    <row r="5" spans="1:17" ht="8.25" customHeight="1" thickBot="1">
      <c r="B5" s="46"/>
      <c r="L5" s="39"/>
      <c r="M5" s="39"/>
    </row>
    <row r="6" spans="1:17" ht="18" thickTop="1" thickBot="1">
      <c r="B6" s="303" t="s">
        <v>0</v>
      </c>
      <c r="C6" s="303"/>
      <c r="D6" s="303"/>
      <c r="E6" s="2" t="s">
        <v>0</v>
      </c>
      <c r="F6" s="163" t="s">
        <v>290</v>
      </c>
      <c r="G6" s="264" t="s">
        <v>0</v>
      </c>
      <c r="H6" s="163" t="s">
        <v>291</v>
      </c>
      <c r="I6" s="3" t="s">
        <v>0</v>
      </c>
      <c r="J6" s="164" t="s">
        <v>292</v>
      </c>
      <c r="K6" s="3"/>
      <c r="L6" s="153" t="s">
        <v>251</v>
      </c>
      <c r="M6" s="153" t="s">
        <v>252</v>
      </c>
    </row>
    <row r="7" spans="1:17" ht="16.5" customHeight="1" thickTop="1">
      <c r="B7" s="281" t="s">
        <v>1</v>
      </c>
      <c r="C7" s="281"/>
      <c r="D7" s="281"/>
      <c r="E7" s="4" t="s">
        <v>0</v>
      </c>
      <c r="F7" s="198">
        <v>1.8344</v>
      </c>
      <c r="G7" s="260"/>
      <c r="H7" s="198">
        <v>1.7991999999999999</v>
      </c>
      <c r="I7" s="40"/>
      <c r="J7" s="173">
        <v>1.8667</v>
      </c>
      <c r="K7" s="40"/>
      <c r="L7" s="75">
        <f t="shared" ref="L7:L50" si="0">H7-F7</f>
        <v>-3.520000000000012E-2</v>
      </c>
      <c r="M7" s="75">
        <f t="shared" ref="M7:M50" si="1">J7-H7</f>
        <v>6.7500000000000115E-2</v>
      </c>
    </row>
    <row r="8" spans="1:17" ht="16.5" customHeight="1">
      <c r="B8" s="275" t="s">
        <v>2</v>
      </c>
      <c r="C8" s="275"/>
      <c r="D8" s="275"/>
      <c r="E8" s="4" t="s">
        <v>0</v>
      </c>
      <c r="F8" s="198">
        <v>1.804</v>
      </c>
      <c r="G8" s="260"/>
      <c r="H8" s="198">
        <v>1.8364</v>
      </c>
      <c r="I8" s="40"/>
      <c r="J8" s="174">
        <v>2.0222000000000002</v>
      </c>
      <c r="K8" s="40"/>
      <c r="L8" s="76">
        <f t="shared" si="0"/>
        <v>3.2399999999999984E-2</v>
      </c>
      <c r="M8" s="76">
        <f t="shared" si="1"/>
        <v>0.18580000000000019</v>
      </c>
    </row>
    <row r="9" spans="1:17" ht="16.5" customHeight="1">
      <c r="B9" s="275" t="s">
        <v>79</v>
      </c>
      <c r="C9" s="275"/>
      <c r="D9" s="275"/>
      <c r="E9" s="4" t="s">
        <v>0</v>
      </c>
      <c r="F9" s="198">
        <v>1.9139999999999999</v>
      </c>
      <c r="G9" s="260"/>
      <c r="H9" s="198">
        <v>1.9517</v>
      </c>
      <c r="I9" s="40"/>
      <c r="J9" s="174">
        <v>1.9728000000000001</v>
      </c>
      <c r="K9" s="40"/>
      <c r="L9" s="76">
        <f t="shared" si="0"/>
        <v>3.7700000000000067E-2</v>
      </c>
      <c r="M9" s="76">
        <f t="shared" si="1"/>
        <v>2.1100000000000119E-2</v>
      </c>
    </row>
    <row r="10" spans="1:17" ht="16.5" customHeight="1">
      <c r="B10" s="28"/>
      <c r="C10" s="275" t="s">
        <v>78</v>
      </c>
      <c r="D10" s="275"/>
      <c r="E10" s="4" t="s">
        <v>0</v>
      </c>
      <c r="F10" s="198">
        <v>2.0954000000000002</v>
      </c>
      <c r="G10" s="260"/>
      <c r="H10" s="198">
        <v>2.069</v>
      </c>
      <c r="I10" s="40"/>
      <c r="J10" s="174">
        <v>2.1114999999999999</v>
      </c>
      <c r="K10" s="40"/>
      <c r="L10" s="76">
        <f t="shared" si="0"/>
        <v>-2.6400000000000201E-2</v>
      </c>
      <c r="M10" s="76">
        <f t="shared" si="1"/>
        <v>4.2499999999999982E-2</v>
      </c>
    </row>
    <row r="11" spans="1:17" ht="16.5" customHeight="1">
      <c r="B11" s="28"/>
      <c r="C11" s="29" t="s">
        <v>0</v>
      </c>
      <c r="D11" s="11" t="s">
        <v>5</v>
      </c>
      <c r="E11" s="5" t="s">
        <v>0</v>
      </c>
      <c r="F11" s="265">
        <v>2.1492</v>
      </c>
      <c r="G11" s="259"/>
      <c r="H11" s="265">
        <v>2.1631</v>
      </c>
      <c r="I11" s="42"/>
      <c r="J11" s="175">
        <v>2.1827000000000001</v>
      </c>
      <c r="K11" s="42"/>
      <c r="L11" s="77">
        <f t="shared" si="0"/>
        <v>1.3900000000000023E-2</v>
      </c>
      <c r="M11" s="77">
        <f t="shared" si="1"/>
        <v>1.9600000000000062E-2</v>
      </c>
    </row>
    <row r="12" spans="1:17" ht="16.5" customHeight="1">
      <c r="B12" s="28"/>
      <c r="C12" s="29" t="s">
        <v>0</v>
      </c>
      <c r="D12" s="11" t="s">
        <v>6</v>
      </c>
      <c r="E12" s="5" t="s">
        <v>0</v>
      </c>
      <c r="F12" s="265">
        <v>2.1038000000000001</v>
      </c>
      <c r="G12" s="259"/>
      <c r="H12" s="265">
        <v>1.9608000000000001</v>
      </c>
      <c r="I12" s="42"/>
      <c r="J12" s="175">
        <v>1.9582999999999999</v>
      </c>
      <c r="K12" s="42"/>
      <c r="L12" s="77">
        <f t="shared" si="0"/>
        <v>-0.14300000000000002</v>
      </c>
      <c r="M12" s="77">
        <f t="shared" si="1"/>
        <v>-2.5000000000001688E-3</v>
      </c>
    </row>
    <row r="13" spans="1:17" ht="16.5" customHeight="1">
      <c r="B13" s="28"/>
      <c r="C13" s="29" t="s">
        <v>0</v>
      </c>
      <c r="D13" s="11" t="s">
        <v>7</v>
      </c>
      <c r="E13" s="5" t="s">
        <v>0</v>
      </c>
      <c r="F13" s="265">
        <v>2.0103</v>
      </c>
      <c r="G13" s="259"/>
      <c r="H13" s="265">
        <v>2.0139</v>
      </c>
      <c r="I13" s="42"/>
      <c r="J13" s="175">
        <v>2.1366000000000001</v>
      </c>
      <c r="K13" s="42"/>
      <c r="L13" s="77">
        <f t="shared" si="0"/>
        <v>3.6000000000000476E-3</v>
      </c>
      <c r="M13" s="77">
        <f t="shared" si="1"/>
        <v>0.12270000000000003</v>
      </c>
    </row>
    <row r="14" spans="1:17" ht="16.5" customHeight="1">
      <c r="B14" s="28"/>
      <c r="C14" s="29" t="s">
        <v>0</v>
      </c>
      <c r="D14" s="11" t="s">
        <v>215</v>
      </c>
      <c r="E14" s="5" t="s">
        <v>0</v>
      </c>
      <c r="F14" s="265">
        <v>2.1475</v>
      </c>
      <c r="G14" s="259"/>
      <c r="H14" s="265">
        <v>2.1377999999999999</v>
      </c>
      <c r="I14" s="42"/>
      <c r="J14" s="175">
        <v>2.1240999999999999</v>
      </c>
      <c r="K14" s="42"/>
      <c r="L14" s="77">
        <f t="shared" si="0"/>
        <v>-9.7000000000000419E-3</v>
      </c>
      <c r="M14" s="77">
        <f t="shared" si="1"/>
        <v>-1.3700000000000045E-2</v>
      </c>
    </row>
    <row r="15" spans="1:17" ht="16.5" customHeight="1">
      <c r="B15" s="28"/>
      <c r="C15" s="275" t="s">
        <v>76</v>
      </c>
      <c r="D15" s="275"/>
      <c r="E15" s="4" t="s">
        <v>0</v>
      </c>
      <c r="F15" s="198">
        <v>1.6879999999999999</v>
      </c>
      <c r="G15" s="260"/>
      <c r="H15" s="198">
        <v>1.7753000000000001</v>
      </c>
      <c r="I15" s="40"/>
      <c r="J15" s="174">
        <v>1.8694</v>
      </c>
      <c r="K15" s="40"/>
      <c r="L15" s="76">
        <f t="shared" si="0"/>
        <v>8.7300000000000155E-2</v>
      </c>
      <c r="M15" s="76">
        <f t="shared" si="1"/>
        <v>9.409999999999985E-2</v>
      </c>
    </row>
    <row r="16" spans="1:17" ht="16.5" customHeight="1">
      <c r="B16" s="28"/>
      <c r="C16" s="29" t="s">
        <v>0</v>
      </c>
      <c r="D16" s="11" t="s">
        <v>9</v>
      </c>
      <c r="E16" s="5" t="s">
        <v>0</v>
      </c>
      <c r="F16" s="265">
        <v>1.1248</v>
      </c>
      <c r="G16" s="259"/>
      <c r="H16" s="265">
        <v>1.2323999999999999</v>
      </c>
      <c r="I16" s="42"/>
      <c r="J16" s="175">
        <v>1.4057999999999999</v>
      </c>
      <c r="K16" s="42"/>
      <c r="L16" s="77">
        <f t="shared" si="0"/>
        <v>0.10759999999999992</v>
      </c>
      <c r="M16" s="77">
        <f t="shared" si="1"/>
        <v>0.1734</v>
      </c>
    </row>
    <row r="17" spans="2:13" ht="16.5" customHeight="1">
      <c r="B17" s="28"/>
      <c r="C17" s="29" t="s">
        <v>0</v>
      </c>
      <c r="D17" s="11" t="s">
        <v>10</v>
      </c>
      <c r="E17" s="5" t="s">
        <v>0</v>
      </c>
      <c r="F17" s="265">
        <v>1.8359000000000001</v>
      </c>
      <c r="G17" s="259"/>
      <c r="H17" s="265">
        <v>1.8487</v>
      </c>
      <c r="I17" s="42"/>
      <c r="J17" s="175">
        <v>1.8904000000000001</v>
      </c>
      <c r="K17" s="42"/>
      <c r="L17" s="77">
        <f t="shared" si="0"/>
        <v>1.2799999999999923E-2</v>
      </c>
      <c r="M17" s="77">
        <f t="shared" si="1"/>
        <v>4.170000000000007E-2</v>
      </c>
    </row>
    <row r="18" spans="2:13" ht="16.5" customHeight="1">
      <c r="B18" s="28"/>
      <c r="C18" s="29" t="s">
        <v>0</v>
      </c>
      <c r="D18" s="11" t="s">
        <v>11</v>
      </c>
      <c r="E18" s="5" t="s">
        <v>0</v>
      </c>
      <c r="F18" s="265">
        <v>1.9363999999999999</v>
      </c>
      <c r="G18" s="259"/>
      <c r="H18" s="265">
        <v>2.0983000000000001</v>
      </c>
      <c r="I18" s="42"/>
      <c r="J18" s="175">
        <v>2.1562000000000001</v>
      </c>
      <c r="K18" s="42"/>
      <c r="L18" s="77">
        <f t="shared" si="0"/>
        <v>0.16190000000000015</v>
      </c>
      <c r="M18" s="77">
        <f t="shared" si="1"/>
        <v>5.7900000000000063E-2</v>
      </c>
    </row>
    <row r="19" spans="2:13" ht="16.5" customHeight="1">
      <c r="B19" s="28"/>
      <c r="C19" s="29" t="s">
        <v>0</v>
      </c>
      <c r="D19" s="30" t="s">
        <v>12</v>
      </c>
      <c r="E19" s="5" t="s">
        <v>0</v>
      </c>
      <c r="F19" s="265">
        <v>1.7241</v>
      </c>
      <c r="G19" s="259"/>
      <c r="H19" s="265">
        <v>1.8255999999999999</v>
      </c>
      <c r="I19" s="42"/>
      <c r="J19" s="175">
        <v>1.8738999999999999</v>
      </c>
      <c r="K19" s="42"/>
      <c r="L19" s="77">
        <f t="shared" si="0"/>
        <v>0.10149999999999992</v>
      </c>
      <c r="M19" s="77">
        <f t="shared" si="1"/>
        <v>4.830000000000001E-2</v>
      </c>
    </row>
    <row r="20" spans="2:13" ht="16.5" customHeight="1">
      <c r="B20" s="28"/>
      <c r="C20" s="29" t="s">
        <v>0</v>
      </c>
      <c r="D20" s="11" t="s">
        <v>24</v>
      </c>
      <c r="E20" s="5" t="s">
        <v>0</v>
      </c>
      <c r="F20" s="265">
        <v>2.0882999999999998</v>
      </c>
      <c r="G20" s="259"/>
      <c r="H20" s="265">
        <v>2.0828000000000002</v>
      </c>
      <c r="I20" s="42"/>
      <c r="J20" s="175">
        <v>2.1861999999999999</v>
      </c>
      <c r="K20" s="42"/>
      <c r="L20" s="77">
        <f t="shared" si="0"/>
        <v>-5.4999999999996163E-3</v>
      </c>
      <c r="M20" s="77">
        <f t="shared" si="1"/>
        <v>0.10339999999999971</v>
      </c>
    </row>
    <row r="21" spans="2:13" ht="16.5" customHeight="1">
      <c r="B21" s="28"/>
      <c r="C21" s="275" t="s">
        <v>77</v>
      </c>
      <c r="D21" s="275"/>
      <c r="E21" s="4" t="s">
        <v>0</v>
      </c>
      <c r="F21" s="198">
        <v>2.0085000000000002</v>
      </c>
      <c r="G21" s="260"/>
      <c r="H21" s="198">
        <v>2.0240999999999998</v>
      </c>
      <c r="I21" s="40"/>
      <c r="J21" s="174">
        <v>2.0032999999999999</v>
      </c>
      <c r="K21" s="40"/>
      <c r="L21" s="76">
        <f t="shared" si="0"/>
        <v>1.5599999999999614E-2</v>
      </c>
      <c r="M21" s="76">
        <f t="shared" si="1"/>
        <v>-2.079999999999993E-2</v>
      </c>
    </row>
    <row r="22" spans="2:13" ht="16.5" customHeight="1">
      <c r="B22" s="28"/>
      <c r="C22" s="29" t="s">
        <v>0</v>
      </c>
      <c r="D22" s="11" t="s">
        <v>64</v>
      </c>
      <c r="E22" s="5" t="s">
        <v>0</v>
      </c>
      <c r="F22" s="265">
        <v>1.7866</v>
      </c>
      <c r="G22" s="259"/>
      <c r="H22" s="265">
        <v>1.7031000000000001</v>
      </c>
      <c r="I22" s="42"/>
      <c r="J22" s="175">
        <v>1.6796</v>
      </c>
      <c r="K22" s="42"/>
      <c r="L22" s="77">
        <f t="shared" si="0"/>
        <v>-8.3499999999999908E-2</v>
      </c>
      <c r="M22" s="77">
        <f t="shared" si="1"/>
        <v>-2.3500000000000076E-2</v>
      </c>
    </row>
    <row r="23" spans="2:13" ht="16.5" customHeight="1">
      <c r="B23" s="28"/>
      <c r="C23" s="29" t="s">
        <v>0</v>
      </c>
      <c r="D23" s="11" t="s">
        <v>25</v>
      </c>
      <c r="E23" s="5" t="s">
        <v>0</v>
      </c>
      <c r="F23" s="265">
        <v>2.1063999999999998</v>
      </c>
      <c r="G23" s="259"/>
      <c r="H23" s="265">
        <v>2.0286</v>
      </c>
      <c r="I23" s="42"/>
      <c r="J23" s="175">
        <v>2.0562999999999998</v>
      </c>
      <c r="K23" s="42"/>
      <c r="L23" s="77">
        <f t="shared" si="0"/>
        <v>-7.7799999999999869E-2</v>
      </c>
      <c r="M23" s="77">
        <f t="shared" si="1"/>
        <v>2.7699999999999836E-2</v>
      </c>
    </row>
    <row r="24" spans="2:13" ht="16.5" customHeight="1">
      <c r="B24" s="28"/>
      <c r="C24" s="29" t="s">
        <v>0</v>
      </c>
      <c r="D24" s="11" t="s">
        <v>26</v>
      </c>
      <c r="E24" s="5" t="s">
        <v>0</v>
      </c>
      <c r="F24" s="265">
        <v>2.2092000000000001</v>
      </c>
      <c r="G24" s="259"/>
      <c r="H24" s="265">
        <v>2.1316999999999999</v>
      </c>
      <c r="I24" s="42"/>
      <c r="J24" s="175">
        <v>2.1095999999999999</v>
      </c>
      <c r="K24" s="42"/>
      <c r="L24" s="77">
        <f t="shared" si="0"/>
        <v>-7.7500000000000124E-2</v>
      </c>
      <c r="M24" s="77">
        <f t="shared" si="1"/>
        <v>-2.2100000000000009E-2</v>
      </c>
    </row>
    <row r="25" spans="2:13" ht="16.5" customHeight="1">
      <c r="B25" s="28"/>
      <c r="C25" s="29" t="s">
        <v>0</v>
      </c>
      <c r="D25" s="11" t="s">
        <v>27</v>
      </c>
      <c r="E25" s="5" t="s">
        <v>0</v>
      </c>
      <c r="F25" s="265">
        <v>2.2723</v>
      </c>
      <c r="G25" s="259"/>
      <c r="H25" s="265">
        <v>2.4377</v>
      </c>
      <c r="I25" s="42"/>
      <c r="J25" s="175">
        <v>2.4377</v>
      </c>
      <c r="K25" s="42"/>
      <c r="L25" s="77">
        <f t="shared" si="0"/>
        <v>0.16539999999999999</v>
      </c>
      <c r="M25" s="77">
        <f t="shared" si="1"/>
        <v>0</v>
      </c>
    </row>
    <row r="26" spans="2:13" s="128" customFormat="1" ht="16.5" customHeight="1">
      <c r="B26" s="127"/>
      <c r="C26" s="275" t="s">
        <v>216</v>
      </c>
      <c r="D26" s="275"/>
      <c r="E26" s="4"/>
      <c r="F26" s="198">
        <v>1.7918000000000001</v>
      </c>
      <c r="G26" s="260"/>
      <c r="H26" s="198">
        <v>1.8895999999999999</v>
      </c>
      <c r="I26" s="40"/>
      <c r="J26" s="174">
        <v>1.8389</v>
      </c>
      <c r="K26" s="40"/>
      <c r="L26" s="76">
        <f t="shared" si="0"/>
        <v>9.7799999999999887E-2</v>
      </c>
      <c r="M26" s="76">
        <f t="shared" si="1"/>
        <v>-5.0699999999999967E-2</v>
      </c>
    </row>
    <row r="27" spans="2:13" ht="16.5" customHeight="1">
      <c r="B27" s="275" t="s">
        <v>75</v>
      </c>
      <c r="C27" s="275"/>
      <c r="D27" s="275"/>
      <c r="E27" s="4" t="s">
        <v>0</v>
      </c>
      <c r="F27" s="198">
        <v>1.6052</v>
      </c>
      <c r="G27" s="260"/>
      <c r="H27" s="198">
        <v>1.5026999999999999</v>
      </c>
      <c r="I27" s="40"/>
      <c r="J27" s="174">
        <v>1.6133999999999999</v>
      </c>
      <c r="K27" s="40"/>
      <c r="L27" s="76">
        <f t="shared" si="0"/>
        <v>-0.10250000000000004</v>
      </c>
      <c r="M27" s="76">
        <f t="shared" si="1"/>
        <v>0.11070000000000002</v>
      </c>
    </row>
    <row r="28" spans="2:13" ht="16.5" customHeight="1">
      <c r="B28" s="28"/>
      <c r="C28" s="29" t="s">
        <v>0</v>
      </c>
      <c r="D28" s="11" t="s">
        <v>42</v>
      </c>
      <c r="E28" s="5" t="s">
        <v>0</v>
      </c>
      <c r="F28" s="265">
        <v>1.4849000000000001</v>
      </c>
      <c r="G28" s="259"/>
      <c r="H28" s="265">
        <v>1.4158999999999999</v>
      </c>
      <c r="I28" s="42"/>
      <c r="J28" s="175">
        <v>1.5031000000000001</v>
      </c>
      <c r="K28" s="42"/>
      <c r="L28" s="77">
        <f t="shared" si="0"/>
        <v>-6.9000000000000172E-2</v>
      </c>
      <c r="M28" s="77">
        <f t="shared" si="1"/>
        <v>8.7200000000000166E-2</v>
      </c>
    </row>
    <row r="29" spans="2:13" ht="16.5" customHeight="1">
      <c r="B29" s="28"/>
      <c r="C29" s="29" t="s">
        <v>0</v>
      </c>
      <c r="D29" s="11" t="s">
        <v>43</v>
      </c>
      <c r="E29" s="5" t="s">
        <v>0</v>
      </c>
      <c r="F29" s="265">
        <v>1.9733000000000001</v>
      </c>
      <c r="G29" s="259"/>
      <c r="H29" s="265">
        <v>1.7865</v>
      </c>
      <c r="I29" s="42"/>
      <c r="J29" s="175">
        <v>1.8891</v>
      </c>
      <c r="K29" s="42"/>
      <c r="L29" s="77">
        <f t="shared" si="0"/>
        <v>-0.18680000000000008</v>
      </c>
      <c r="M29" s="77">
        <f t="shared" si="1"/>
        <v>0.10260000000000002</v>
      </c>
    </row>
    <row r="30" spans="2:13" ht="16.5" customHeight="1">
      <c r="B30" s="275" t="s">
        <v>15</v>
      </c>
      <c r="C30" s="275"/>
      <c r="D30" s="275"/>
      <c r="E30" s="5" t="s">
        <v>0</v>
      </c>
      <c r="F30" s="198">
        <v>2.0598999999999998</v>
      </c>
      <c r="G30" s="259"/>
      <c r="H30" s="198">
        <v>1.9973000000000001</v>
      </c>
      <c r="I30" s="42"/>
      <c r="J30" s="174">
        <v>1.9695</v>
      </c>
      <c r="K30" s="42"/>
      <c r="L30" s="76">
        <f t="shared" si="0"/>
        <v>-6.2599999999999767E-2</v>
      </c>
      <c r="M30" s="76">
        <f t="shared" si="1"/>
        <v>-2.7800000000000047E-2</v>
      </c>
    </row>
    <row r="31" spans="2:13" ht="16.5" customHeight="1">
      <c r="B31" s="276" t="s">
        <v>74</v>
      </c>
      <c r="C31" s="276"/>
      <c r="D31" s="276"/>
      <c r="E31" s="4" t="s">
        <v>0</v>
      </c>
      <c r="F31" s="198">
        <v>1.6428</v>
      </c>
      <c r="G31" s="260"/>
      <c r="H31" s="198">
        <v>1.6728000000000001</v>
      </c>
      <c r="I31" s="40"/>
      <c r="J31" s="174">
        <v>1.6718999999999999</v>
      </c>
      <c r="K31" s="40"/>
      <c r="L31" s="76">
        <f t="shared" si="0"/>
        <v>3.0000000000000027E-2</v>
      </c>
      <c r="M31" s="76">
        <f t="shared" si="1"/>
        <v>-9.0000000000012292E-4</v>
      </c>
    </row>
    <row r="32" spans="2:13" ht="16.5" customHeight="1">
      <c r="B32" s="28"/>
      <c r="C32" s="275" t="s">
        <v>73</v>
      </c>
      <c r="D32" s="275"/>
      <c r="E32" s="4" t="s">
        <v>0</v>
      </c>
      <c r="F32" s="198">
        <v>1.6987000000000001</v>
      </c>
      <c r="G32" s="260"/>
      <c r="H32" s="198">
        <v>1.7374000000000001</v>
      </c>
      <c r="I32" s="40"/>
      <c r="J32" s="174">
        <v>1.7677</v>
      </c>
      <c r="K32" s="40"/>
      <c r="L32" s="76">
        <f t="shared" si="0"/>
        <v>3.8699999999999957E-2</v>
      </c>
      <c r="M32" s="76">
        <f t="shared" si="1"/>
        <v>3.0299999999999994E-2</v>
      </c>
    </row>
    <row r="33" spans="2:15" ht="16.5" customHeight="1">
      <c r="B33" s="28"/>
      <c r="C33" s="29" t="s">
        <v>0</v>
      </c>
      <c r="D33" s="11" t="s">
        <v>28</v>
      </c>
      <c r="E33" s="5" t="s">
        <v>0</v>
      </c>
      <c r="F33" s="265">
        <v>1.6819</v>
      </c>
      <c r="G33" s="259"/>
      <c r="H33" s="265">
        <v>1.7244999999999999</v>
      </c>
      <c r="I33" s="42"/>
      <c r="J33" s="175">
        <v>1.7463</v>
      </c>
      <c r="K33" s="42"/>
      <c r="L33" s="77">
        <f t="shared" si="0"/>
        <v>4.2599999999999971E-2</v>
      </c>
      <c r="M33" s="77">
        <f t="shared" si="1"/>
        <v>2.1800000000000042E-2</v>
      </c>
    </row>
    <row r="34" spans="2:15" ht="16.5" customHeight="1">
      <c r="B34" s="28"/>
      <c r="C34" s="29" t="s">
        <v>0</v>
      </c>
      <c r="D34" s="11" t="s">
        <v>17</v>
      </c>
      <c r="E34" s="5" t="s">
        <v>0</v>
      </c>
      <c r="F34" s="265">
        <v>1.6493</v>
      </c>
      <c r="G34" s="259"/>
      <c r="H34" s="265">
        <v>1.6916</v>
      </c>
      <c r="I34" s="42"/>
      <c r="J34" s="175">
        <v>1.7844</v>
      </c>
      <c r="K34" s="42"/>
      <c r="L34" s="77">
        <f t="shared" si="0"/>
        <v>4.2300000000000004E-2</v>
      </c>
      <c r="M34" s="77">
        <f t="shared" si="1"/>
        <v>9.2799999999999994E-2</v>
      </c>
    </row>
    <row r="35" spans="2:15" ht="16.5" customHeight="1">
      <c r="B35" s="28"/>
      <c r="C35" s="275" t="s">
        <v>72</v>
      </c>
      <c r="D35" s="275"/>
      <c r="E35" s="4" t="s">
        <v>0</v>
      </c>
      <c r="F35" s="198">
        <v>1.5853999999999999</v>
      </c>
      <c r="G35" s="260"/>
      <c r="H35" s="198">
        <v>1.6044</v>
      </c>
      <c r="I35" s="40"/>
      <c r="J35" s="174">
        <v>1.5958000000000001</v>
      </c>
      <c r="K35" s="40"/>
      <c r="L35" s="76">
        <f t="shared" si="0"/>
        <v>1.9000000000000128E-2</v>
      </c>
      <c r="M35" s="76">
        <f t="shared" si="1"/>
        <v>-8.599999999999941E-3</v>
      </c>
    </row>
    <row r="36" spans="2:15" ht="16.5" customHeight="1">
      <c r="B36" s="28"/>
      <c r="C36" s="29" t="s">
        <v>0</v>
      </c>
      <c r="D36" s="11" t="s">
        <v>29</v>
      </c>
      <c r="E36" s="5" t="s">
        <v>0</v>
      </c>
      <c r="F36" s="265">
        <v>1.6995</v>
      </c>
      <c r="G36" s="259"/>
      <c r="H36" s="265">
        <v>1.6891</v>
      </c>
      <c r="I36" s="42"/>
      <c r="J36" s="175">
        <v>1.6539999999999999</v>
      </c>
      <c r="K36" s="42"/>
      <c r="L36" s="77">
        <f t="shared" si="0"/>
        <v>-1.0399999999999965E-2</v>
      </c>
      <c r="M36" s="77">
        <f t="shared" si="1"/>
        <v>-3.5100000000000131E-2</v>
      </c>
    </row>
    <row r="37" spans="2:15" ht="16.5" customHeight="1">
      <c r="B37" s="28"/>
      <c r="C37" s="29" t="s">
        <v>0</v>
      </c>
      <c r="D37" s="11" t="s">
        <v>30</v>
      </c>
      <c r="E37" s="5" t="s">
        <v>0</v>
      </c>
      <c r="F37" s="265">
        <v>1.6331</v>
      </c>
      <c r="G37" s="259"/>
      <c r="H37" s="265">
        <v>1.6456</v>
      </c>
      <c r="I37" s="42"/>
      <c r="J37" s="175">
        <v>1.5958000000000001</v>
      </c>
      <c r="K37" s="42"/>
      <c r="L37" s="77">
        <f t="shared" si="0"/>
        <v>1.2499999999999956E-2</v>
      </c>
      <c r="M37" s="77">
        <f t="shared" si="1"/>
        <v>-4.9799999999999844E-2</v>
      </c>
    </row>
    <row r="38" spans="2:15" ht="16.5" customHeight="1">
      <c r="B38" s="28"/>
      <c r="C38" s="29" t="s">
        <v>0</v>
      </c>
      <c r="D38" s="11" t="s">
        <v>31</v>
      </c>
      <c r="E38" s="5" t="s">
        <v>0</v>
      </c>
      <c r="F38" s="265">
        <v>1.3351999999999999</v>
      </c>
      <c r="G38" s="259"/>
      <c r="H38" s="265">
        <v>1.3859999999999999</v>
      </c>
      <c r="I38" s="42"/>
      <c r="J38" s="175">
        <v>1.4174</v>
      </c>
      <c r="K38" s="42"/>
      <c r="L38" s="77">
        <f t="shared" si="0"/>
        <v>5.0799999999999956E-2</v>
      </c>
      <c r="M38" s="77">
        <f t="shared" si="1"/>
        <v>3.1400000000000095E-2</v>
      </c>
    </row>
    <row r="39" spans="2:15" ht="16.5" customHeight="1">
      <c r="B39" s="28"/>
      <c r="C39" s="29" t="s">
        <v>0</v>
      </c>
      <c r="D39" s="11" t="s">
        <v>32</v>
      </c>
      <c r="E39" s="5" t="s">
        <v>0</v>
      </c>
      <c r="F39" s="265">
        <v>1.7597</v>
      </c>
      <c r="G39" s="259"/>
      <c r="H39" s="265">
        <v>1.7797000000000001</v>
      </c>
      <c r="I39" s="42"/>
      <c r="J39" s="175">
        <v>1.7478</v>
      </c>
      <c r="K39" s="42"/>
      <c r="L39" s="77">
        <f t="shared" si="0"/>
        <v>2.0000000000000018E-2</v>
      </c>
      <c r="M39" s="77">
        <f t="shared" si="1"/>
        <v>-3.1900000000000039E-2</v>
      </c>
    </row>
    <row r="40" spans="2:15" ht="16.5" customHeight="1">
      <c r="B40" s="28"/>
      <c r="C40" s="29" t="s">
        <v>0</v>
      </c>
      <c r="D40" s="11" t="s">
        <v>33</v>
      </c>
      <c r="E40" s="5" t="s">
        <v>0</v>
      </c>
      <c r="F40" s="265">
        <v>1.4774</v>
      </c>
      <c r="G40" s="259"/>
      <c r="H40" s="265">
        <v>1.4784999999999999</v>
      </c>
      <c r="I40" s="42"/>
      <c r="J40" s="175">
        <v>1.5722</v>
      </c>
      <c r="K40" s="42"/>
      <c r="L40" s="77">
        <f t="shared" si="0"/>
        <v>1.0999999999998789E-3</v>
      </c>
      <c r="M40" s="77">
        <f t="shared" si="1"/>
        <v>9.3700000000000117E-2</v>
      </c>
    </row>
    <row r="41" spans="2:15" ht="16.5" customHeight="1">
      <c r="B41" s="28"/>
      <c r="C41" s="275" t="s">
        <v>71</v>
      </c>
      <c r="D41" s="275"/>
      <c r="E41" s="4" t="s">
        <v>0</v>
      </c>
      <c r="F41" s="198">
        <v>1.5175000000000001</v>
      </c>
      <c r="G41" s="260"/>
      <c r="H41" s="198">
        <v>1.5367</v>
      </c>
      <c r="I41" s="40"/>
      <c r="J41" s="174">
        <v>1.5267999999999999</v>
      </c>
      <c r="K41" s="40"/>
      <c r="L41" s="76">
        <f t="shared" si="0"/>
        <v>1.9199999999999884E-2</v>
      </c>
      <c r="M41" s="76">
        <f t="shared" si="1"/>
        <v>-9.9000000000000199E-3</v>
      </c>
    </row>
    <row r="42" spans="2:15" ht="16.5" customHeight="1">
      <c r="B42" s="28"/>
      <c r="C42" s="29" t="s">
        <v>0</v>
      </c>
      <c r="D42" s="11" t="s">
        <v>34</v>
      </c>
      <c r="E42" s="5" t="s">
        <v>0</v>
      </c>
      <c r="F42" s="265">
        <v>1.4605999999999999</v>
      </c>
      <c r="G42" s="259"/>
      <c r="H42" s="265">
        <v>1.3623000000000001</v>
      </c>
      <c r="I42" s="42"/>
      <c r="J42" s="175">
        <v>1.4136</v>
      </c>
      <c r="K42" s="42"/>
      <c r="L42" s="77">
        <f t="shared" si="0"/>
        <v>-9.8299999999999832E-2</v>
      </c>
      <c r="M42" s="77">
        <f t="shared" si="1"/>
        <v>5.1299999999999901E-2</v>
      </c>
    </row>
    <row r="43" spans="2:15" ht="16.5" customHeight="1">
      <c r="B43" s="28"/>
      <c r="C43" s="29" t="s">
        <v>0</v>
      </c>
      <c r="D43" s="11" t="s">
        <v>20</v>
      </c>
      <c r="E43" s="5" t="s">
        <v>0</v>
      </c>
      <c r="F43" s="265">
        <v>1.4037999999999999</v>
      </c>
      <c r="G43" s="259"/>
      <c r="H43" s="265">
        <v>1.5217000000000001</v>
      </c>
      <c r="I43" s="42"/>
      <c r="J43" s="175">
        <v>1.5144</v>
      </c>
      <c r="K43" s="42"/>
      <c r="L43" s="77">
        <f t="shared" si="0"/>
        <v>0.11790000000000012</v>
      </c>
      <c r="M43" s="77">
        <f t="shared" si="1"/>
        <v>-7.3000000000000842E-3</v>
      </c>
    </row>
    <row r="44" spans="2:15" ht="16.5" customHeight="1">
      <c r="B44" s="28"/>
      <c r="C44" s="29" t="s">
        <v>0</v>
      </c>
      <c r="D44" s="11" t="s">
        <v>21</v>
      </c>
      <c r="E44" s="5" t="s">
        <v>0</v>
      </c>
      <c r="F44" s="265">
        <v>1.7097</v>
      </c>
      <c r="G44" s="259"/>
      <c r="H44" s="265">
        <v>1.7274</v>
      </c>
      <c r="I44" s="42"/>
      <c r="J44" s="175">
        <v>1.6462000000000001</v>
      </c>
      <c r="K44" s="42"/>
      <c r="L44" s="77">
        <f t="shared" si="0"/>
        <v>1.7700000000000049E-2</v>
      </c>
      <c r="M44" s="77">
        <f t="shared" si="1"/>
        <v>-8.1199999999999939E-2</v>
      </c>
    </row>
    <row r="45" spans="2:15" ht="16.5" customHeight="1">
      <c r="B45" s="28"/>
      <c r="C45" s="275" t="s">
        <v>70</v>
      </c>
      <c r="D45" s="275"/>
      <c r="E45" s="4" t="s">
        <v>0</v>
      </c>
      <c r="F45" s="198">
        <v>1.9300999999999999</v>
      </c>
      <c r="G45" s="260"/>
      <c r="H45" s="198">
        <v>2.0293999999999999</v>
      </c>
      <c r="I45" s="40"/>
      <c r="J45" s="174">
        <v>2.0857000000000001</v>
      </c>
      <c r="K45" s="40"/>
      <c r="L45" s="76">
        <f t="shared" si="0"/>
        <v>9.9299999999999944E-2</v>
      </c>
      <c r="M45" s="76">
        <f t="shared" si="1"/>
        <v>5.6300000000000239E-2</v>
      </c>
    </row>
    <row r="46" spans="2:15" ht="16.5" customHeight="1">
      <c r="B46" s="28"/>
      <c r="C46" s="29" t="s">
        <v>0</v>
      </c>
      <c r="D46" s="11" t="s">
        <v>23</v>
      </c>
      <c r="E46" s="5" t="s">
        <v>0</v>
      </c>
      <c r="F46" s="265">
        <v>2.0503</v>
      </c>
      <c r="G46" s="259"/>
      <c r="H46" s="265">
        <v>2.1478999999999999</v>
      </c>
      <c r="I46" s="42"/>
      <c r="J46" s="175">
        <v>2.2161</v>
      </c>
      <c r="K46" s="42"/>
      <c r="L46" s="77">
        <f t="shared" si="0"/>
        <v>9.7599999999999909E-2</v>
      </c>
      <c r="M46" s="77">
        <f t="shared" si="1"/>
        <v>6.8200000000000038E-2</v>
      </c>
    </row>
    <row r="47" spans="2:15" ht="16.5" customHeight="1">
      <c r="B47" s="28"/>
      <c r="C47" s="29" t="s">
        <v>0</v>
      </c>
      <c r="D47" s="11" t="s">
        <v>35</v>
      </c>
      <c r="E47" s="5" t="s">
        <v>0</v>
      </c>
      <c r="F47" s="265">
        <v>1.7081</v>
      </c>
      <c r="G47" s="259"/>
      <c r="H47" s="265">
        <v>1.7626999999999999</v>
      </c>
      <c r="I47" s="42"/>
      <c r="J47" s="176">
        <v>1.7905</v>
      </c>
      <c r="K47" s="44"/>
      <c r="L47" s="78">
        <f t="shared" si="0"/>
        <v>5.4599999999999982E-2</v>
      </c>
      <c r="M47" s="78">
        <f t="shared" si="1"/>
        <v>2.7800000000000047E-2</v>
      </c>
      <c r="O47" s="10"/>
    </row>
    <row r="48" spans="2:15" ht="16.5" customHeight="1">
      <c r="B48" s="28"/>
      <c r="C48" s="29"/>
      <c r="D48" s="11" t="s">
        <v>36</v>
      </c>
      <c r="E48" s="5"/>
      <c r="F48" s="265">
        <v>1.8573</v>
      </c>
      <c r="G48" s="259"/>
      <c r="H48" s="265">
        <v>2.0051999999999999</v>
      </c>
      <c r="I48" s="42"/>
      <c r="J48" s="176">
        <v>2.0344000000000002</v>
      </c>
      <c r="K48" s="44"/>
      <c r="L48" s="78">
        <f t="shared" si="0"/>
        <v>0.14789999999999992</v>
      </c>
      <c r="M48" s="78">
        <f t="shared" si="1"/>
        <v>2.9200000000000337E-2</v>
      </c>
      <c r="O48" s="10"/>
    </row>
    <row r="49" spans="2:13" ht="16.5" customHeight="1">
      <c r="B49" s="275" t="s">
        <v>102</v>
      </c>
      <c r="C49" s="275"/>
      <c r="D49" s="275"/>
      <c r="E49" s="4" t="s">
        <v>0</v>
      </c>
      <c r="F49" s="198">
        <v>1</v>
      </c>
      <c r="G49" s="260"/>
      <c r="H49" s="198">
        <v>2.7442000000000002</v>
      </c>
      <c r="I49" s="40"/>
      <c r="J49" s="174">
        <v>2.6629</v>
      </c>
      <c r="K49" s="40"/>
      <c r="L49" s="76">
        <f t="shared" si="0"/>
        <v>1.7442000000000002</v>
      </c>
      <c r="M49" s="76">
        <f t="shared" si="1"/>
        <v>-8.130000000000015E-2</v>
      </c>
    </row>
    <row r="50" spans="2:13" ht="16.5" customHeight="1" thickBot="1">
      <c r="B50" s="302" t="s">
        <v>318</v>
      </c>
      <c r="C50" s="302"/>
      <c r="D50" s="302"/>
      <c r="E50" s="6" t="s">
        <v>0</v>
      </c>
      <c r="F50" s="266">
        <v>1.8004</v>
      </c>
      <c r="G50" s="267"/>
      <c r="H50" s="266">
        <v>1.8128</v>
      </c>
      <c r="I50" s="80"/>
      <c r="J50" s="177">
        <v>1.8042</v>
      </c>
      <c r="K50" s="80"/>
      <c r="L50" s="79">
        <f t="shared" si="0"/>
        <v>1.2399999999999967E-2</v>
      </c>
      <c r="M50" s="79">
        <f t="shared" si="1"/>
        <v>-8.599999999999941E-3</v>
      </c>
    </row>
    <row r="51" spans="2:13" ht="9" customHeight="1" thickTop="1"/>
    <row r="52" spans="2:13">
      <c r="D52" s="12" t="s">
        <v>338</v>
      </c>
    </row>
    <row r="53" spans="2:13">
      <c r="D53" s="12" t="s">
        <v>259</v>
      </c>
      <c r="E53" s="24"/>
      <c r="G53" s="24"/>
      <c r="I53" s="24"/>
      <c r="J53" s="23"/>
      <c r="K53" s="23"/>
    </row>
    <row r="54" spans="2:13">
      <c r="D54" s="12" t="s">
        <v>222</v>
      </c>
    </row>
  </sheetData>
  <mergeCells count="19">
    <mergeCell ref="B50:D50"/>
    <mergeCell ref="C32:D32"/>
    <mergeCell ref="B6:D6"/>
    <mergeCell ref="B7:D7"/>
    <mergeCell ref="B8:D8"/>
    <mergeCell ref="B9:D9"/>
    <mergeCell ref="C10:D10"/>
    <mergeCell ref="C15:D15"/>
    <mergeCell ref="C21:D21"/>
    <mergeCell ref="B27:D27"/>
    <mergeCell ref="B30:D30"/>
    <mergeCell ref="B31:D31"/>
    <mergeCell ref="C26:D26"/>
    <mergeCell ref="B3:M3"/>
    <mergeCell ref="C35:D35"/>
    <mergeCell ref="C41:D41"/>
    <mergeCell ref="C45:D45"/>
    <mergeCell ref="B49:D49"/>
    <mergeCell ref="B4:M4"/>
  </mergeCells>
  <phoneticPr fontId="1" type="noConversion"/>
  <hyperlinks>
    <hyperlink ref="A1" location="목차!A1" display="(목차로 이동)" xr:uid="{00000000-0004-0000-0B00-000000000000}"/>
  </hyperlinks>
  <pageMargins left="0.70866141732283472" right="0.70866141732283472" top="0.74803149606299213" bottom="0.74803149606299213" header="0.31496062992125984" footer="0.31496062992125984"/>
  <pageSetup paperSize="9" scale="80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5" tint="0.79998168889431442"/>
  </sheetPr>
  <dimension ref="A1:Q54"/>
  <sheetViews>
    <sheetView view="pageBreakPreview" topLeftCell="A31" zoomScaleNormal="100" zoomScaleSheetLayoutView="100" workbookViewId="0">
      <selection activeCell="Q47" sqref="Q47"/>
    </sheetView>
  </sheetViews>
  <sheetFormatPr defaultRowHeight="16.5"/>
  <cols>
    <col min="1" max="1" width="2.625" customWidth="1"/>
    <col min="2" max="2" width="2.125" customWidth="1"/>
    <col min="3" max="3" width="2.125" style="7" customWidth="1"/>
    <col min="4" max="4" width="26.625" style="7" customWidth="1"/>
    <col min="5" max="5" width="1.625" customWidth="1"/>
    <col min="6" max="6" width="8.625" style="23" customWidth="1"/>
    <col min="7" max="7" width="1.625" style="23" customWidth="1"/>
    <col min="8" max="8" width="8.625" style="23" customWidth="1"/>
    <col min="9" max="9" width="1.625" customWidth="1"/>
    <col min="10" max="10" width="8.625" customWidth="1"/>
    <col min="11" max="11" width="1.625" customWidth="1"/>
    <col min="12" max="12" width="8.625" customWidth="1"/>
    <col min="13" max="13" width="9.625" customWidth="1"/>
  </cols>
  <sheetData>
    <row r="1" spans="1:17">
      <c r="A1" s="32" t="s">
        <v>172</v>
      </c>
      <c r="D1" s="35"/>
      <c r="L1" s="105"/>
      <c r="M1" s="105"/>
    </row>
    <row r="2" spans="1:17" ht="6" customHeight="1">
      <c r="A2" s="32"/>
      <c r="D2" s="35"/>
      <c r="L2" s="105"/>
      <c r="M2" s="105"/>
    </row>
    <row r="3" spans="1:17" ht="23.1" customHeight="1">
      <c r="B3" s="278" t="s">
        <v>202</v>
      </c>
      <c r="C3" s="278"/>
      <c r="D3" s="278"/>
      <c r="E3" s="278"/>
      <c r="F3" s="278"/>
      <c r="G3" s="278"/>
      <c r="H3" s="278"/>
      <c r="I3" s="278"/>
      <c r="J3" s="278"/>
      <c r="K3" s="278"/>
      <c r="L3" s="278"/>
      <c r="M3" s="278"/>
      <c r="N3" s="33"/>
      <c r="O3" s="33"/>
      <c r="P3" s="33"/>
      <c r="Q3" s="33"/>
    </row>
    <row r="4" spans="1:17" ht="18">
      <c r="B4" s="286"/>
      <c r="C4" s="286"/>
      <c r="D4" s="286"/>
      <c r="E4" s="286"/>
      <c r="F4" s="286"/>
      <c r="G4" s="286"/>
      <c r="H4" s="286"/>
      <c r="I4" s="286"/>
      <c r="J4" s="286"/>
      <c r="K4" s="286"/>
      <c r="L4" s="286"/>
      <c r="M4" s="286"/>
      <c r="N4" s="33"/>
      <c r="O4" s="33"/>
      <c r="P4" s="33"/>
      <c r="Q4" s="33"/>
    </row>
    <row r="5" spans="1:17" ht="8.25" customHeight="1" thickBot="1">
      <c r="B5" s="46"/>
      <c r="L5" s="39"/>
      <c r="M5" s="39"/>
    </row>
    <row r="6" spans="1:17" ht="18" thickTop="1" thickBot="1">
      <c r="B6" s="303" t="s">
        <v>0</v>
      </c>
      <c r="C6" s="303"/>
      <c r="D6" s="303"/>
      <c r="E6" s="2" t="s">
        <v>0</v>
      </c>
      <c r="F6" s="163" t="s">
        <v>290</v>
      </c>
      <c r="G6" s="264" t="s">
        <v>0</v>
      </c>
      <c r="H6" s="163" t="s">
        <v>291</v>
      </c>
      <c r="I6" s="3" t="s">
        <v>0</v>
      </c>
      <c r="J6" s="164" t="s">
        <v>292</v>
      </c>
      <c r="K6" s="3"/>
      <c r="L6" s="153" t="s">
        <v>251</v>
      </c>
      <c r="M6" s="153" t="s">
        <v>252</v>
      </c>
    </row>
    <row r="7" spans="1:17" ht="16.5" customHeight="1" thickTop="1">
      <c r="B7" s="281" t="s">
        <v>1</v>
      </c>
      <c r="C7" s="281"/>
      <c r="D7" s="281"/>
      <c r="E7" s="4" t="s">
        <v>0</v>
      </c>
      <c r="F7" s="198">
        <v>0.82010000000000005</v>
      </c>
      <c r="G7" s="260"/>
      <c r="H7" s="198">
        <v>0.84819999999999995</v>
      </c>
      <c r="I7" s="40"/>
      <c r="J7" s="173">
        <v>0.85119999999999996</v>
      </c>
      <c r="K7" s="40"/>
      <c r="L7" s="75">
        <f t="shared" ref="L7:L50" si="0">H7-F7</f>
        <v>2.8099999999999903E-2</v>
      </c>
      <c r="M7" s="75">
        <f t="shared" ref="M7:M50" si="1">J7-H7</f>
        <v>3.0000000000000027E-3</v>
      </c>
    </row>
    <row r="8" spans="1:17" ht="16.5" customHeight="1">
      <c r="B8" s="275" t="s">
        <v>2</v>
      </c>
      <c r="C8" s="275"/>
      <c r="D8" s="275"/>
      <c r="E8" s="4" t="s">
        <v>0</v>
      </c>
      <c r="F8" s="198">
        <v>0.86929999999999996</v>
      </c>
      <c r="G8" s="260"/>
      <c r="H8" s="198">
        <v>0.89129999999999998</v>
      </c>
      <c r="I8" s="40"/>
      <c r="J8" s="174">
        <v>0.87560000000000004</v>
      </c>
      <c r="K8" s="40"/>
      <c r="L8" s="76">
        <f t="shared" si="0"/>
        <v>2.200000000000002E-2</v>
      </c>
      <c r="M8" s="76">
        <f t="shared" si="1"/>
        <v>-1.5699999999999936E-2</v>
      </c>
    </row>
    <row r="9" spans="1:17" ht="16.5" customHeight="1">
      <c r="B9" s="275" t="s">
        <v>203</v>
      </c>
      <c r="C9" s="275"/>
      <c r="D9" s="275"/>
      <c r="E9" s="4" t="s">
        <v>0</v>
      </c>
      <c r="F9" s="198">
        <v>0.5877</v>
      </c>
      <c r="G9" s="260"/>
      <c r="H9" s="198">
        <v>0.64249999999999996</v>
      </c>
      <c r="I9" s="40"/>
      <c r="J9" s="174">
        <v>0.66779999999999995</v>
      </c>
      <c r="K9" s="40"/>
      <c r="L9" s="76">
        <f t="shared" si="0"/>
        <v>5.479999999999996E-2</v>
      </c>
      <c r="M9" s="76">
        <f t="shared" si="1"/>
        <v>2.5299999999999989E-2</v>
      </c>
    </row>
    <row r="10" spans="1:17" ht="16.5" customHeight="1">
      <c r="B10" s="28"/>
      <c r="C10" s="275" t="s">
        <v>204</v>
      </c>
      <c r="D10" s="275"/>
      <c r="E10" s="4" t="s">
        <v>0</v>
      </c>
      <c r="F10" s="198">
        <v>0.68330000000000002</v>
      </c>
      <c r="G10" s="260"/>
      <c r="H10" s="198">
        <v>0.68620000000000003</v>
      </c>
      <c r="I10" s="40"/>
      <c r="J10" s="174">
        <v>0.72440000000000004</v>
      </c>
      <c r="K10" s="40"/>
      <c r="L10" s="76">
        <f t="shared" si="0"/>
        <v>2.9000000000000137E-3</v>
      </c>
      <c r="M10" s="76">
        <f t="shared" si="1"/>
        <v>3.8200000000000012E-2</v>
      </c>
    </row>
    <row r="11" spans="1:17" ht="16.5" customHeight="1">
      <c r="B11" s="28"/>
      <c r="C11" s="29" t="s">
        <v>0</v>
      </c>
      <c r="D11" s="11" t="s">
        <v>5</v>
      </c>
      <c r="E11" s="5" t="s">
        <v>0</v>
      </c>
      <c r="F11" s="265">
        <v>0.73409999999999997</v>
      </c>
      <c r="G11" s="259"/>
      <c r="H11" s="265">
        <v>0.75009999999999999</v>
      </c>
      <c r="I11" s="42"/>
      <c r="J11" s="175">
        <v>0.76319999999999999</v>
      </c>
      <c r="K11" s="42"/>
      <c r="L11" s="77">
        <f t="shared" si="0"/>
        <v>1.6000000000000014E-2</v>
      </c>
      <c r="M11" s="77">
        <f t="shared" si="1"/>
        <v>1.3100000000000001E-2</v>
      </c>
    </row>
    <row r="12" spans="1:17" ht="16.5" customHeight="1">
      <c r="B12" s="28"/>
      <c r="C12" s="29" t="s">
        <v>0</v>
      </c>
      <c r="D12" s="11" t="s">
        <v>6</v>
      </c>
      <c r="E12" s="5" t="s">
        <v>0</v>
      </c>
      <c r="F12" s="265">
        <v>0.62639999999999996</v>
      </c>
      <c r="G12" s="259"/>
      <c r="H12" s="265">
        <v>0.57110000000000005</v>
      </c>
      <c r="I12" s="42"/>
      <c r="J12" s="175">
        <v>0.59989999999999999</v>
      </c>
      <c r="K12" s="42"/>
      <c r="L12" s="77">
        <f t="shared" si="0"/>
        <v>-5.5299999999999905E-2</v>
      </c>
      <c r="M12" s="77">
        <f t="shared" si="1"/>
        <v>2.8799999999999937E-2</v>
      </c>
    </row>
    <row r="13" spans="1:17" ht="16.5" customHeight="1">
      <c r="B13" s="28"/>
      <c r="C13" s="29" t="s">
        <v>0</v>
      </c>
      <c r="D13" s="11" t="s">
        <v>7</v>
      </c>
      <c r="E13" s="5" t="s">
        <v>0</v>
      </c>
      <c r="F13" s="265">
        <v>0.66180000000000005</v>
      </c>
      <c r="G13" s="259"/>
      <c r="H13" s="265">
        <v>0.71050000000000002</v>
      </c>
      <c r="I13" s="42"/>
      <c r="J13" s="175">
        <v>0.74919999999999998</v>
      </c>
      <c r="K13" s="42"/>
      <c r="L13" s="77">
        <f t="shared" si="0"/>
        <v>4.8699999999999966E-2</v>
      </c>
      <c r="M13" s="77">
        <f t="shared" si="1"/>
        <v>3.8699999999999957E-2</v>
      </c>
    </row>
    <row r="14" spans="1:17" ht="16.5" customHeight="1">
      <c r="B14" s="28"/>
      <c r="C14" s="29" t="s">
        <v>0</v>
      </c>
      <c r="D14" s="11" t="s">
        <v>215</v>
      </c>
      <c r="E14" s="5" t="s">
        <v>0</v>
      </c>
      <c r="F14" s="265">
        <v>0.70950000000000002</v>
      </c>
      <c r="G14" s="259"/>
      <c r="H14" s="265">
        <v>0.71530000000000005</v>
      </c>
      <c r="I14" s="42"/>
      <c r="J14" s="175">
        <v>0.74080000000000001</v>
      </c>
      <c r="K14" s="42"/>
      <c r="L14" s="77">
        <f t="shared" si="0"/>
        <v>5.8000000000000274E-3</v>
      </c>
      <c r="M14" s="77">
        <f t="shared" si="1"/>
        <v>2.5499999999999967E-2</v>
      </c>
    </row>
    <row r="15" spans="1:17" ht="16.5" customHeight="1">
      <c r="B15" s="28"/>
      <c r="C15" s="275" t="s">
        <v>205</v>
      </c>
      <c r="D15" s="275"/>
      <c r="E15" s="4" t="s">
        <v>0</v>
      </c>
      <c r="F15" s="198">
        <v>0.49880000000000002</v>
      </c>
      <c r="G15" s="260"/>
      <c r="H15" s="198">
        <v>0.58909999999999996</v>
      </c>
      <c r="I15" s="40"/>
      <c r="J15" s="174">
        <v>0.61739999999999995</v>
      </c>
      <c r="K15" s="40"/>
      <c r="L15" s="76">
        <f t="shared" si="0"/>
        <v>9.0299999999999936E-2</v>
      </c>
      <c r="M15" s="76">
        <f t="shared" si="1"/>
        <v>2.8299999999999992E-2</v>
      </c>
    </row>
    <row r="16" spans="1:17" ht="16.5" customHeight="1">
      <c r="B16" s="28"/>
      <c r="C16" s="29" t="s">
        <v>0</v>
      </c>
      <c r="D16" s="11" t="s">
        <v>9</v>
      </c>
      <c r="E16" s="5" t="s">
        <v>0</v>
      </c>
      <c r="F16" s="265">
        <v>0.31130000000000002</v>
      </c>
      <c r="G16" s="259"/>
      <c r="H16" s="265">
        <v>0.40139999999999998</v>
      </c>
      <c r="I16" s="42"/>
      <c r="J16" s="175">
        <v>0.4032</v>
      </c>
      <c r="K16" s="42"/>
      <c r="L16" s="77">
        <f t="shared" si="0"/>
        <v>9.0099999999999958E-2</v>
      </c>
      <c r="M16" s="77">
        <f t="shared" si="1"/>
        <v>1.8000000000000238E-3</v>
      </c>
    </row>
    <row r="17" spans="2:13" ht="16.5" customHeight="1">
      <c r="B17" s="28"/>
      <c r="C17" s="29" t="s">
        <v>0</v>
      </c>
      <c r="D17" s="11" t="s">
        <v>10</v>
      </c>
      <c r="E17" s="5" t="s">
        <v>0</v>
      </c>
      <c r="F17" s="265">
        <v>0.54869999999999997</v>
      </c>
      <c r="G17" s="259"/>
      <c r="H17" s="265">
        <v>0.60970000000000002</v>
      </c>
      <c r="I17" s="42"/>
      <c r="J17" s="175">
        <v>0.64659999999999995</v>
      </c>
      <c r="K17" s="42"/>
      <c r="L17" s="77">
        <f t="shared" si="0"/>
        <v>6.1000000000000054E-2</v>
      </c>
      <c r="M17" s="77">
        <f t="shared" si="1"/>
        <v>3.6899999999999933E-2</v>
      </c>
    </row>
    <row r="18" spans="2:13" ht="16.5" customHeight="1">
      <c r="B18" s="28"/>
      <c r="C18" s="29" t="s">
        <v>0</v>
      </c>
      <c r="D18" s="11" t="s">
        <v>11</v>
      </c>
      <c r="E18" s="5" t="s">
        <v>0</v>
      </c>
      <c r="F18" s="265">
        <v>0.65349999999999997</v>
      </c>
      <c r="G18" s="259"/>
      <c r="H18" s="265">
        <v>0.75270000000000004</v>
      </c>
      <c r="I18" s="42"/>
      <c r="J18" s="175">
        <v>0.76319999999999999</v>
      </c>
      <c r="K18" s="42"/>
      <c r="L18" s="77">
        <f t="shared" si="0"/>
        <v>9.9200000000000066E-2</v>
      </c>
      <c r="M18" s="77">
        <f t="shared" si="1"/>
        <v>1.0499999999999954E-2</v>
      </c>
    </row>
    <row r="19" spans="2:13" ht="16.5" customHeight="1">
      <c r="B19" s="28"/>
      <c r="C19" s="29" t="s">
        <v>0</v>
      </c>
      <c r="D19" s="30" t="s">
        <v>12</v>
      </c>
      <c r="E19" s="5" t="s">
        <v>0</v>
      </c>
      <c r="F19" s="265">
        <v>0.43819999999999998</v>
      </c>
      <c r="G19" s="259"/>
      <c r="H19" s="265">
        <v>0.50239999999999996</v>
      </c>
      <c r="I19" s="42"/>
      <c r="J19" s="175">
        <v>0.51959999999999995</v>
      </c>
      <c r="K19" s="42"/>
      <c r="L19" s="77">
        <f t="shared" si="0"/>
        <v>6.4199999999999979E-2</v>
      </c>
      <c r="M19" s="77">
        <f t="shared" si="1"/>
        <v>1.7199999999999993E-2</v>
      </c>
    </row>
    <row r="20" spans="2:13" ht="16.5" customHeight="1">
      <c r="B20" s="28"/>
      <c r="C20" s="29" t="s">
        <v>0</v>
      </c>
      <c r="D20" s="11" t="s">
        <v>24</v>
      </c>
      <c r="E20" s="5" t="s">
        <v>0</v>
      </c>
      <c r="F20" s="265">
        <v>0.66290000000000004</v>
      </c>
      <c r="G20" s="259"/>
      <c r="H20" s="265">
        <v>0.75190000000000001</v>
      </c>
      <c r="I20" s="42"/>
      <c r="J20" s="175">
        <v>0.75970000000000004</v>
      </c>
      <c r="K20" s="42"/>
      <c r="L20" s="77">
        <f t="shared" si="0"/>
        <v>8.8999999999999968E-2</v>
      </c>
      <c r="M20" s="77">
        <f t="shared" si="1"/>
        <v>7.8000000000000291E-3</v>
      </c>
    </row>
    <row r="21" spans="2:13" ht="16.5" customHeight="1">
      <c r="B21" s="28"/>
      <c r="C21" s="275" t="s">
        <v>206</v>
      </c>
      <c r="D21" s="275"/>
      <c r="E21" s="4" t="s">
        <v>0</v>
      </c>
      <c r="F21" s="198">
        <v>0.60060000000000002</v>
      </c>
      <c r="G21" s="260"/>
      <c r="H21" s="198">
        <v>0.6492</v>
      </c>
      <c r="I21" s="40"/>
      <c r="J21" s="174">
        <v>0.67259999999999998</v>
      </c>
      <c r="K21" s="40"/>
      <c r="L21" s="76">
        <f t="shared" si="0"/>
        <v>4.8599999999999977E-2</v>
      </c>
      <c r="M21" s="76">
        <f t="shared" si="1"/>
        <v>2.3399999999999976E-2</v>
      </c>
    </row>
    <row r="22" spans="2:13" ht="16.5" customHeight="1">
      <c r="B22" s="28"/>
      <c r="C22" s="29" t="s">
        <v>0</v>
      </c>
      <c r="D22" s="11" t="s">
        <v>64</v>
      </c>
      <c r="E22" s="5" t="s">
        <v>0</v>
      </c>
      <c r="F22" s="265">
        <v>0.56569999999999998</v>
      </c>
      <c r="G22" s="259"/>
      <c r="H22" s="265">
        <v>0.60409999999999997</v>
      </c>
      <c r="I22" s="42"/>
      <c r="J22" s="175">
        <v>0.63970000000000005</v>
      </c>
      <c r="K22" s="42"/>
      <c r="L22" s="77">
        <f t="shared" si="0"/>
        <v>3.839999999999999E-2</v>
      </c>
      <c r="M22" s="77">
        <f t="shared" si="1"/>
        <v>3.5600000000000076E-2</v>
      </c>
    </row>
    <row r="23" spans="2:13" ht="16.5" customHeight="1">
      <c r="B23" s="28"/>
      <c r="C23" s="29" t="s">
        <v>0</v>
      </c>
      <c r="D23" s="11" t="s">
        <v>25</v>
      </c>
      <c r="E23" s="5" t="s">
        <v>0</v>
      </c>
      <c r="F23" s="265">
        <v>0.63739999999999997</v>
      </c>
      <c r="G23" s="259"/>
      <c r="H23" s="265">
        <v>0.68179999999999996</v>
      </c>
      <c r="I23" s="42"/>
      <c r="J23" s="175">
        <v>0.65600000000000003</v>
      </c>
      <c r="K23" s="42"/>
      <c r="L23" s="77">
        <f t="shared" si="0"/>
        <v>4.4399999999999995E-2</v>
      </c>
      <c r="M23" s="77">
        <f t="shared" si="1"/>
        <v>-2.5799999999999934E-2</v>
      </c>
    </row>
    <row r="24" spans="2:13" ht="16.5" customHeight="1">
      <c r="B24" s="28"/>
      <c r="C24" s="29" t="s">
        <v>0</v>
      </c>
      <c r="D24" s="11" t="s">
        <v>26</v>
      </c>
      <c r="E24" s="5" t="s">
        <v>0</v>
      </c>
      <c r="F24" s="265">
        <v>0.66210000000000002</v>
      </c>
      <c r="G24" s="259"/>
      <c r="H24" s="265">
        <v>0.70850000000000002</v>
      </c>
      <c r="I24" s="42"/>
      <c r="J24" s="175">
        <v>0.72199999999999998</v>
      </c>
      <c r="K24" s="42"/>
      <c r="L24" s="77">
        <f t="shared" si="0"/>
        <v>4.6399999999999997E-2</v>
      </c>
      <c r="M24" s="77">
        <f t="shared" si="1"/>
        <v>1.3499999999999956E-2</v>
      </c>
    </row>
    <row r="25" spans="2:13" ht="16.5" customHeight="1">
      <c r="B25" s="28"/>
      <c r="C25" s="29" t="s">
        <v>0</v>
      </c>
      <c r="D25" s="11" t="s">
        <v>27</v>
      </c>
      <c r="E25" s="5" t="s">
        <v>0</v>
      </c>
      <c r="F25" s="265">
        <v>0.62780000000000002</v>
      </c>
      <c r="G25" s="259"/>
      <c r="H25" s="265">
        <v>0.67720000000000002</v>
      </c>
      <c r="I25" s="42"/>
      <c r="J25" s="175">
        <v>0.69720000000000004</v>
      </c>
      <c r="K25" s="42"/>
      <c r="L25" s="77">
        <f t="shared" si="0"/>
        <v>4.9399999999999999E-2</v>
      </c>
      <c r="M25" s="77">
        <f t="shared" si="1"/>
        <v>2.0000000000000018E-2</v>
      </c>
    </row>
    <row r="26" spans="2:13" s="128" customFormat="1" ht="16.5" customHeight="1">
      <c r="B26" s="127"/>
      <c r="C26" s="275" t="s">
        <v>216</v>
      </c>
      <c r="D26" s="275"/>
      <c r="E26" s="4"/>
      <c r="F26" s="198">
        <v>0.8226</v>
      </c>
      <c r="G26" s="260"/>
      <c r="H26" s="198">
        <v>0.85329999999999995</v>
      </c>
      <c r="I26" s="40"/>
      <c r="J26" s="174">
        <v>0.88139999999999996</v>
      </c>
      <c r="K26" s="40"/>
      <c r="L26" s="76">
        <f t="shared" si="0"/>
        <v>3.069999999999995E-2</v>
      </c>
      <c r="M26" s="76">
        <f t="shared" si="1"/>
        <v>2.8100000000000014E-2</v>
      </c>
    </row>
    <row r="27" spans="2:13" ht="16.5" customHeight="1">
      <c r="B27" s="275" t="s">
        <v>207</v>
      </c>
      <c r="C27" s="275"/>
      <c r="D27" s="275"/>
      <c r="E27" s="4" t="s">
        <v>0</v>
      </c>
      <c r="F27" s="198">
        <v>0.52900000000000003</v>
      </c>
      <c r="G27" s="260"/>
      <c r="H27" s="198">
        <v>0.60270000000000001</v>
      </c>
      <c r="I27" s="40"/>
      <c r="J27" s="174">
        <v>0.6583</v>
      </c>
      <c r="K27" s="40"/>
      <c r="L27" s="76">
        <f t="shared" si="0"/>
        <v>7.3699999999999988E-2</v>
      </c>
      <c r="M27" s="76">
        <f t="shared" si="1"/>
        <v>5.5599999999999983E-2</v>
      </c>
    </row>
    <row r="28" spans="2:13" ht="16.5" customHeight="1">
      <c r="B28" s="28"/>
      <c r="C28" s="29" t="s">
        <v>0</v>
      </c>
      <c r="D28" s="11" t="s">
        <v>162</v>
      </c>
      <c r="E28" s="5" t="s">
        <v>0</v>
      </c>
      <c r="F28" s="265">
        <v>0.44900000000000001</v>
      </c>
      <c r="G28" s="259"/>
      <c r="H28" s="265">
        <v>0.53210000000000002</v>
      </c>
      <c r="I28" s="42"/>
      <c r="J28" s="175">
        <v>0.56469999999999998</v>
      </c>
      <c r="K28" s="42"/>
      <c r="L28" s="77">
        <f t="shared" si="0"/>
        <v>8.3100000000000007E-2</v>
      </c>
      <c r="M28" s="77">
        <f t="shared" si="1"/>
        <v>3.2599999999999962E-2</v>
      </c>
    </row>
    <row r="29" spans="2:13" ht="16.5" customHeight="1">
      <c r="B29" s="28"/>
      <c r="C29" s="29" t="s">
        <v>0</v>
      </c>
      <c r="D29" s="11" t="s">
        <v>163</v>
      </c>
      <c r="E29" s="5" t="s">
        <v>0</v>
      </c>
      <c r="F29" s="265">
        <v>0.79090000000000005</v>
      </c>
      <c r="G29" s="259"/>
      <c r="H29" s="265">
        <v>0.86970000000000003</v>
      </c>
      <c r="I29" s="42"/>
      <c r="J29" s="175">
        <v>0.87809999999999999</v>
      </c>
      <c r="K29" s="42"/>
      <c r="L29" s="77">
        <f t="shared" si="0"/>
        <v>7.8799999999999981E-2</v>
      </c>
      <c r="M29" s="77">
        <f t="shared" si="1"/>
        <v>8.3999999999999631E-3</v>
      </c>
    </row>
    <row r="30" spans="2:13" ht="16.5" customHeight="1">
      <c r="B30" s="275" t="s">
        <v>15</v>
      </c>
      <c r="C30" s="275"/>
      <c r="D30" s="275"/>
      <c r="E30" s="5" t="s">
        <v>0</v>
      </c>
      <c r="F30" s="198">
        <v>0.76859999999999995</v>
      </c>
      <c r="G30" s="259"/>
      <c r="H30" s="198">
        <v>0.80400000000000005</v>
      </c>
      <c r="I30" s="42"/>
      <c r="J30" s="174">
        <v>0.83279999999999998</v>
      </c>
      <c r="K30" s="42"/>
      <c r="L30" s="76">
        <f t="shared" si="0"/>
        <v>3.5400000000000098E-2</v>
      </c>
      <c r="M30" s="76">
        <f t="shared" si="1"/>
        <v>2.8799999999999937E-2</v>
      </c>
    </row>
    <row r="31" spans="2:13" ht="16.5" customHeight="1">
      <c r="B31" s="276" t="s">
        <v>208</v>
      </c>
      <c r="C31" s="276"/>
      <c r="D31" s="276"/>
      <c r="E31" s="4" t="s">
        <v>0</v>
      </c>
      <c r="F31" s="198">
        <v>0.8518</v>
      </c>
      <c r="G31" s="260"/>
      <c r="H31" s="198">
        <v>0.875</v>
      </c>
      <c r="I31" s="40"/>
      <c r="J31" s="174">
        <v>0.88859999999999995</v>
      </c>
      <c r="K31" s="40"/>
      <c r="L31" s="76">
        <f t="shared" si="0"/>
        <v>2.3199999999999998E-2</v>
      </c>
      <c r="M31" s="76">
        <f t="shared" si="1"/>
        <v>1.3599999999999945E-2</v>
      </c>
    </row>
    <row r="32" spans="2:13" ht="16.5" customHeight="1">
      <c r="B32" s="28"/>
      <c r="C32" s="275" t="s">
        <v>209</v>
      </c>
      <c r="D32" s="275"/>
      <c r="E32" s="4" t="s">
        <v>0</v>
      </c>
      <c r="F32" s="198">
        <v>0.77669999999999995</v>
      </c>
      <c r="G32" s="260"/>
      <c r="H32" s="198">
        <v>0.82279999999999998</v>
      </c>
      <c r="I32" s="40"/>
      <c r="J32" s="174">
        <v>0.85950000000000004</v>
      </c>
      <c r="K32" s="40"/>
      <c r="L32" s="76">
        <f t="shared" si="0"/>
        <v>4.610000000000003E-2</v>
      </c>
      <c r="M32" s="76">
        <f t="shared" si="1"/>
        <v>3.6700000000000066E-2</v>
      </c>
    </row>
    <row r="33" spans="2:15" ht="16.5" customHeight="1">
      <c r="B33" s="28"/>
      <c r="C33" s="29" t="s">
        <v>0</v>
      </c>
      <c r="D33" s="11" t="s">
        <v>28</v>
      </c>
      <c r="E33" s="5" t="s">
        <v>0</v>
      </c>
      <c r="F33" s="265">
        <v>0.87880000000000003</v>
      </c>
      <c r="G33" s="259"/>
      <c r="H33" s="265">
        <v>0.88670000000000004</v>
      </c>
      <c r="I33" s="42"/>
      <c r="J33" s="175">
        <v>0.89600000000000002</v>
      </c>
      <c r="K33" s="42"/>
      <c r="L33" s="77">
        <f t="shared" si="0"/>
        <v>7.9000000000000181E-3</v>
      </c>
      <c r="M33" s="77">
        <f t="shared" si="1"/>
        <v>9.299999999999975E-3</v>
      </c>
    </row>
    <row r="34" spans="2:15" ht="16.5" customHeight="1">
      <c r="B34" s="28"/>
      <c r="C34" s="29" t="s">
        <v>0</v>
      </c>
      <c r="D34" s="11" t="s">
        <v>17</v>
      </c>
      <c r="E34" s="5" t="s">
        <v>0</v>
      </c>
      <c r="F34" s="265">
        <v>0.5786</v>
      </c>
      <c r="G34" s="259"/>
      <c r="H34" s="265">
        <v>0.66259999999999997</v>
      </c>
      <c r="I34" s="42"/>
      <c r="J34" s="175">
        <v>0.72450000000000003</v>
      </c>
      <c r="K34" s="42"/>
      <c r="L34" s="77">
        <f t="shared" si="0"/>
        <v>8.3999999999999964E-2</v>
      </c>
      <c r="M34" s="77">
        <f t="shared" si="1"/>
        <v>6.1900000000000066E-2</v>
      </c>
    </row>
    <row r="35" spans="2:15" ht="16.5" customHeight="1">
      <c r="B35" s="28"/>
      <c r="C35" s="275" t="s">
        <v>210</v>
      </c>
      <c r="D35" s="275"/>
      <c r="E35" s="4" t="s">
        <v>0</v>
      </c>
      <c r="F35" s="198">
        <v>0.8962</v>
      </c>
      <c r="G35" s="260"/>
      <c r="H35" s="198">
        <v>0.91059999999999997</v>
      </c>
      <c r="I35" s="40"/>
      <c r="J35" s="174">
        <v>0.91830000000000001</v>
      </c>
      <c r="K35" s="40"/>
      <c r="L35" s="76">
        <f t="shared" si="0"/>
        <v>1.4399999999999968E-2</v>
      </c>
      <c r="M35" s="76">
        <f t="shared" si="1"/>
        <v>7.7000000000000401E-3</v>
      </c>
    </row>
    <row r="36" spans="2:15" ht="16.5" customHeight="1">
      <c r="B36" s="28"/>
      <c r="C36" s="29" t="s">
        <v>0</v>
      </c>
      <c r="D36" s="11" t="s">
        <v>29</v>
      </c>
      <c r="E36" s="5" t="s">
        <v>0</v>
      </c>
      <c r="F36" s="265">
        <v>0.85109999999999997</v>
      </c>
      <c r="G36" s="259"/>
      <c r="H36" s="265">
        <v>0.86960000000000004</v>
      </c>
      <c r="I36" s="42"/>
      <c r="J36" s="175">
        <v>0.86580000000000001</v>
      </c>
      <c r="K36" s="42"/>
      <c r="L36" s="77">
        <f t="shared" si="0"/>
        <v>1.8500000000000072E-2</v>
      </c>
      <c r="M36" s="77">
        <f t="shared" si="1"/>
        <v>-3.8000000000000256E-3</v>
      </c>
    </row>
    <row r="37" spans="2:15" ht="16.5" customHeight="1">
      <c r="B37" s="28"/>
      <c r="C37" s="29" t="s">
        <v>0</v>
      </c>
      <c r="D37" s="11" t="s">
        <v>30</v>
      </c>
      <c r="E37" s="5" t="s">
        <v>0</v>
      </c>
      <c r="F37" s="265">
        <v>0.90790000000000004</v>
      </c>
      <c r="G37" s="259"/>
      <c r="H37" s="265">
        <v>0.92710000000000004</v>
      </c>
      <c r="I37" s="42"/>
      <c r="J37" s="175">
        <v>0.9385</v>
      </c>
      <c r="K37" s="42"/>
      <c r="L37" s="77">
        <f t="shared" si="0"/>
        <v>1.9199999999999995E-2</v>
      </c>
      <c r="M37" s="77">
        <f t="shared" si="1"/>
        <v>1.1399999999999966E-2</v>
      </c>
    </row>
    <row r="38" spans="2:15" ht="16.5" customHeight="1">
      <c r="B38" s="28"/>
      <c r="C38" s="29" t="s">
        <v>0</v>
      </c>
      <c r="D38" s="11" t="s">
        <v>31</v>
      </c>
      <c r="E38" s="5" t="s">
        <v>0</v>
      </c>
      <c r="F38" s="265">
        <v>0.95930000000000004</v>
      </c>
      <c r="G38" s="259"/>
      <c r="H38" s="265">
        <v>0.96450000000000002</v>
      </c>
      <c r="I38" s="42"/>
      <c r="J38" s="175">
        <v>0.96799999999999997</v>
      </c>
      <c r="K38" s="42"/>
      <c r="L38" s="77">
        <f t="shared" si="0"/>
        <v>5.1999999999999824E-3</v>
      </c>
      <c r="M38" s="77">
        <f t="shared" si="1"/>
        <v>3.4999999999999476E-3</v>
      </c>
    </row>
    <row r="39" spans="2:15" ht="16.5" customHeight="1">
      <c r="B39" s="28"/>
      <c r="C39" s="29" t="s">
        <v>0</v>
      </c>
      <c r="D39" s="11" t="s">
        <v>32</v>
      </c>
      <c r="E39" s="5" t="s">
        <v>0</v>
      </c>
      <c r="F39" s="265">
        <v>0.83240000000000003</v>
      </c>
      <c r="G39" s="259"/>
      <c r="H39" s="265">
        <v>0.8609</v>
      </c>
      <c r="I39" s="42"/>
      <c r="J39" s="175">
        <v>0.88239999999999996</v>
      </c>
      <c r="K39" s="42"/>
      <c r="L39" s="77">
        <f t="shared" si="0"/>
        <v>2.849999999999997E-2</v>
      </c>
      <c r="M39" s="77">
        <f t="shared" si="1"/>
        <v>2.1499999999999964E-2</v>
      </c>
    </row>
    <row r="40" spans="2:15" ht="16.5" customHeight="1">
      <c r="B40" s="28"/>
      <c r="C40" s="29" t="s">
        <v>0</v>
      </c>
      <c r="D40" s="11" t="s">
        <v>33</v>
      </c>
      <c r="E40" s="5" t="s">
        <v>0</v>
      </c>
      <c r="F40" s="265">
        <v>0.91010000000000002</v>
      </c>
      <c r="G40" s="259"/>
      <c r="H40" s="265">
        <v>0.91469999999999996</v>
      </c>
      <c r="I40" s="42"/>
      <c r="J40" s="175">
        <v>0.91210000000000002</v>
      </c>
      <c r="K40" s="42"/>
      <c r="L40" s="77">
        <f t="shared" si="0"/>
        <v>4.5999999999999375E-3</v>
      </c>
      <c r="M40" s="77">
        <f t="shared" si="1"/>
        <v>-2.5999999999999357E-3</v>
      </c>
    </row>
    <row r="41" spans="2:15" ht="16.5" customHeight="1">
      <c r="B41" s="28"/>
      <c r="C41" s="275" t="s">
        <v>211</v>
      </c>
      <c r="D41" s="275"/>
      <c r="E41" s="4" t="s">
        <v>0</v>
      </c>
      <c r="F41" s="198">
        <v>0.88500000000000001</v>
      </c>
      <c r="G41" s="260"/>
      <c r="H41" s="198">
        <v>0.89690000000000003</v>
      </c>
      <c r="I41" s="40"/>
      <c r="J41" s="174">
        <v>0.90249999999999997</v>
      </c>
      <c r="K41" s="40"/>
      <c r="L41" s="76">
        <f t="shared" si="0"/>
        <v>1.1900000000000022E-2</v>
      </c>
      <c r="M41" s="76">
        <f t="shared" si="1"/>
        <v>5.5999999999999384E-3</v>
      </c>
    </row>
    <row r="42" spans="2:15" ht="16.5" customHeight="1">
      <c r="B42" s="28"/>
      <c r="C42" s="29" t="s">
        <v>0</v>
      </c>
      <c r="D42" s="11" t="s">
        <v>34</v>
      </c>
      <c r="E42" s="5" t="s">
        <v>0</v>
      </c>
      <c r="F42" s="265">
        <v>0.91620000000000001</v>
      </c>
      <c r="G42" s="259"/>
      <c r="H42" s="265">
        <v>0.93740000000000001</v>
      </c>
      <c r="I42" s="42"/>
      <c r="J42" s="175">
        <v>0.92849999999999999</v>
      </c>
      <c r="K42" s="42"/>
      <c r="L42" s="77">
        <f t="shared" si="0"/>
        <v>2.1199999999999997E-2</v>
      </c>
      <c r="M42" s="77">
        <f t="shared" si="1"/>
        <v>-8.900000000000019E-3</v>
      </c>
    </row>
    <row r="43" spans="2:15" ht="16.5" customHeight="1">
      <c r="B43" s="28"/>
      <c r="C43" s="29" t="s">
        <v>0</v>
      </c>
      <c r="D43" s="11" t="s">
        <v>20</v>
      </c>
      <c r="E43" s="5" t="s">
        <v>0</v>
      </c>
      <c r="F43" s="265">
        <v>0.91830000000000001</v>
      </c>
      <c r="G43" s="259"/>
      <c r="H43" s="265">
        <v>0.92020000000000002</v>
      </c>
      <c r="I43" s="42"/>
      <c r="J43" s="175">
        <v>0.92969999999999997</v>
      </c>
      <c r="K43" s="42"/>
      <c r="L43" s="77">
        <f t="shared" si="0"/>
        <v>1.9000000000000128E-3</v>
      </c>
      <c r="M43" s="77">
        <f t="shared" si="1"/>
        <v>9.4999999999999529E-3</v>
      </c>
    </row>
    <row r="44" spans="2:15" ht="16.5" customHeight="1">
      <c r="B44" s="28"/>
      <c r="C44" s="29" t="s">
        <v>0</v>
      </c>
      <c r="D44" s="11" t="s">
        <v>21</v>
      </c>
      <c r="E44" s="5" t="s">
        <v>0</v>
      </c>
      <c r="F44" s="265">
        <v>0.82010000000000005</v>
      </c>
      <c r="G44" s="259"/>
      <c r="H44" s="265">
        <v>0.8327</v>
      </c>
      <c r="I44" s="42"/>
      <c r="J44" s="175">
        <v>0.86150000000000004</v>
      </c>
      <c r="K44" s="42"/>
      <c r="L44" s="77">
        <f t="shared" si="0"/>
        <v>1.2599999999999945E-2</v>
      </c>
      <c r="M44" s="77">
        <f t="shared" si="1"/>
        <v>2.8800000000000048E-2</v>
      </c>
    </row>
    <row r="45" spans="2:15" ht="16.5" customHeight="1">
      <c r="B45" s="28"/>
      <c r="C45" s="275" t="s">
        <v>212</v>
      </c>
      <c r="D45" s="275"/>
      <c r="E45" s="4" t="s">
        <v>0</v>
      </c>
      <c r="F45" s="198">
        <v>0.81369999999999998</v>
      </c>
      <c r="G45" s="260"/>
      <c r="H45" s="198">
        <v>0.82050000000000001</v>
      </c>
      <c r="I45" s="40"/>
      <c r="J45" s="174">
        <v>0.82989999999999997</v>
      </c>
      <c r="K45" s="40"/>
      <c r="L45" s="76">
        <f t="shared" si="0"/>
        <v>6.8000000000000282E-3</v>
      </c>
      <c r="M45" s="76">
        <f t="shared" si="1"/>
        <v>9.3999999999999639E-3</v>
      </c>
    </row>
    <row r="46" spans="2:15" ht="16.5" customHeight="1">
      <c r="B46" s="28"/>
      <c r="C46" s="29" t="s">
        <v>0</v>
      </c>
      <c r="D46" s="11" t="s">
        <v>23</v>
      </c>
      <c r="E46" s="5" t="s">
        <v>0</v>
      </c>
      <c r="F46" s="265">
        <v>0.80810000000000004</v>
      </c>
      <c r="G46" s="259"/>
      <c r="H46" s="265">
        <v>0.82369999999999999</v>
      </c>
      <c r="I46" s="42"/>
      <c r="J46" s="175">
        <v>0.82250000000000001</v>
      </c>
      <c r="K46" s="42"/>
      <c r="L46" s="77">
        <f t="shared" si="0"/>
        <v>1.5599999999999947E-2</v>
      </c>
      <c r="M46" s="77">
        <f t="shared" si="1"/>
        <v>-1.1999999999999789E-3</v>
      </c>
    </row>
    <row r="47" spans="2:15" ht="16.5" customHeight="1">
      <c r="B47" s="28"/>
      <c r="C47" s="29" t="s">
        <v>0</v>
      </c>
      <c r="D47" s="11" t="s">
        <v>35</v>
      </c>
      <c r="E47" s="5" t="s">
        <v>0</v>
      </c>
      <c r="F47" s="265">
        <v>0.86699999999999999</v>
      </c>
      <c r="G47" s="259"/>
      <c r="H47" s="265">
        <v>0.88500000000000001</v>
      </c>
      <c r="I47" s="42"/>
      <c r="J47" s="176">
        <v>0.89490000000000003</v>
      </c>
      <c r="K47" s="44"/>
      <c r="L47" s="78">
        <f t="shared" si="0"/>
        <v>1.8000000000000016E-2</v>
      </c>
      <c r="M47" s="78">
        <f t="shared" si="1"/>
        <v>9.9000000000000199E-3</v>
      </c>
      <c r="O47" s="10"/>
    </row>
    <row r="48" spans="2:15" ht="16.5" customHeight="1">
      <c r="B48" s="28"/>
      <c r="C48" s="29"/>
      <c r="D48" s="11" t="s">
        <v>36</v>
      </c>
      <c r="E48" s="5"/>
      <c r="F48" s="265">
        <v>0.82740000000000002</v>
      </c>
      <c r="G48" s="259"/>
      <c r="H48" s="265">
        <v>0.83360000000000001</v>
      </c>
      <c r="I48" s="42"/>
      <c r="J48" s="176">
        <v>0.84350000000000003</v>
      </c>
      <c r="K48" s="44"/>
      <c r="L48" s="78">
        <f t="shared" si="0"/>
        <v>6.1999999999999833E-3</v>
      </c>
      <c r="M48" s="78">
        <f t="shared" si="1"/>
        <v>9.9000000000000199E-3</v>
      </c>
      <c r="O48" s="10"/>
    </row>
    <row r="49" spans="2:13" ht="16.5" customHeight="1">
      <c r="B49" s="275" t="s">
        <v>213</v>
      </c>
      <c r="C49" s="275"/>
      <c r="D49" s="275"/>
      <c r="E49" s="4" t="s">
        <v>0</v>
      </c>
      <c r="F49" s="198">
        <v>0</v>
      </c>
      <c r="G49" s="260"/>
      <c r="H49" s="198">
        <v>0.82040000000000002</v>
      </c>
      <c r="I49" s="40"/>
      <c r="J49" s="174">
        <v>0.87490000000000001</v>
      </c>
      <c r="K49" s="40"/>
      <c r="L49" s="76">
        <f t="shared" si="0"/>
        <v>0.82040000000000002</v>
      </c>
      <c r="M49" s="76">
        <f t="shared" si="1"/>
        <v>5.4499999999999993E-2</v>
      </c>
    </row>
    <row r="50" spans="2:13" ht="16.5" customHeight="1" thickBot="1">
      <c r="B50" s="302" t="s">
        <v>318</v>
      </c>
      <c r="C50" s="302"/>
      <c r="D50" s="302"/>
      <c r="E50" s="6" t="s">
        <v>0</v>
      </c>
      <c r="F50" s="266">
        <v>0.72840000000000005</v>
      </c>
      <c r="G50" s="267"/>
      <c r="H50" s="266">
        <v>0.77429999999999999</v>
      </c>
      <c r="I50" s="80"/>
      <c r="J50" s="177">
        <v>0.80620000000000003</v>
      </c>
      <c r="K50" s="80"/>
      <c r="L50" s="79">
        <f t="shared" si="0"/>
        <v>4.5899999999999941E-2</v>
      </c>
      <c r="M50" s="79">
        <f t="shared" si="1"/>
        <v>3.1900000000000039E-2</v>
      </c>
    </row>
    <row r="51" spans="2:13" ht="9" customHeight="1" thickTop="1"/>
    <row r="52" spans="2:13">
      <c r="D52" s="12" t="s">
        <v>339</v>
      </c>
    </row>
    <row r="53" spans="2:13">
      <c r="D53" s="12" t="s">
        <v>221</v>
      </c>
      <c r="E53" s="24"/>
      <c r="G53" s="24"/>
      <c r="I53" s="24"/>
      <c r="J53" s="23"/>
      <c r="K53" s="23"/>
    </row>
    <row r="54" spans="2:13">
      <c r="D54" s="12" t="s">
        <v>222</v>
      </c>
    </row>
  </sheetData>
  <mergeCells count="19">
    <mergeCell ref="B4:M4"/>
    <mergeCell ref="B3:M3"/>
    <mergeCell ref="C32:D32"/>
    <mergeCell ref="B6:D6"/>
    <mergeCell ref="B7:D7"/>
    <mergeCell ref="B8:D8"/>
    <mergeCell ref="B9:D9"/>
    <mergeCell ref="C10:D10"/>
    <mergeCell ref="C15:D15"/>
    <mergeCell ref="C21:D21"/>
    <mergeCell ref="B27:D27"/>
    <mergeCell ref="B30:D30"/>
    <mergeCell ref="B31:D31"/>
    <mergeCell ref="C26:D26"/>
    <mergeCell ref="C35:D35"/>
    <mergeCell ref="C41:D41"/>
    <mergeCell ref="C45:D45"/>
    <mergeCell ref="B49:D49"/>
    <mergeCell ref="B50:D50"/>
  </mergeCells>
  <phoneticPr fontId="1" type="noConversion"/>
  <hyperlinks>
    <hyperlink ref="A1" location="목차!A1" display="(목차로 이동)" xr:uid="{00000000-0004-0000-0C00-000000000000}"/>
  </hyperlinks>
  <pageMargins left="0.70866141732283472" right="0.70866141732283472" top="0.74803149606299213" bottom="0.74803149606299213" header="0.31496062992125984" footer="0.31496062992125984"/>
  <pageSetup paperSize="9" scale="80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5" tint="0.79998168889431442"/>
  </sheetPr>
  <dimension ref="A1:Q54"/>
  <sheetViews>
    <sheetView view="pageBreakPreview" topLeftCell="A31" zoomScaleNormal="100" zoomScaleSheetLayoutView="100" workbookViewId="0"/>
  </sheetViews>
  <sheetFormatPr defaultRowHeight="16.5"/>
  <cols>
    <col min="1" max="1" width="2.625" customWidth="1"/>
    <col min="2" max="2" width="2.125" customWidth="1"/>
    <col min="3" max="3" width="2.125" style="7" customWidth="1"/>
    <col min="4" max="4" width="26.625" style="7" customWidth="1"/>
    <col min="5" max="5" width="1.625" customWidth="1"/>
    <col min="6" max="6" width="8.625" style="23" customWidth="1"/>
    <col min="7" max="7" width="1.625" style="23" customWidth="1"/>
    <col min="8" max="8" width="8.625" style="23" customWidth="1"/>
    <col min="9" max="9" width="1.625" customWidth="1"/>
    <col min="10" max="10" width="8.625" customWidth="1"/>
    <col min="11" max="11" width="1.625" customWidth="1"/>
    <col min="12" max="13" width="9" bestFit="1" customWidth="1"/>
  </cols>
  <sheetData>
    <row r="1" spans="1:17">
      <c r="A1" s="32" t="s">
        <v>200</v>
      </c>
      <c r="D1" s="35"/>
      <c r="L1" s="105"/>
      <c r="M1" s="105"/>
    </row>
    <row r="2" spans="1:17" ht="6" customHeight="1">
      <c r="A2" s="32"/>
      <c r="D2" s="35"/>
      <c r="L2" s="105"/>
      <c r="M2" s="105"/>
    </row>
    <row r="3" spans="1:17" ht="18">
      <c r="B3" s="278" t="s">
        <v>214</v>
      </c>
      <c r="C3" s="278"/>
      <c r="D3" s="278"/>
      <c r="E3" s="278"/>
      <c r="F3" s="278"/>
      <c r="G3" s="278"/>
      <c r="H3" s="278"/>
      <c r="I3" s="278"/>
      <c r="J3" s="278"/>
      <c r="K3" s="278"/>
      <c r="L3" s="278"/>
      <c r="M3" s="278"/>
      <c r="N3" s="33"/>
      <c r="O3" s="33"/>
      <c r="P3" s="33"/>
      <c r="Q3" s="33"/>
    </row>
    <row r="4" spans="1:17" ht="18">
      <c r="B4" s="286"/>
      <c r="C4" s="286"/>
      <c r="D4" s="286"/>
      <c r="E4" s="286"/>
      <c r="F4" s="286"/>
      <c r="G4" s="286"/>
      <c r="H4" s="286"/>
      <c r="I4" s="286"/>
      <c r="J4" s="286"/>
      <c r="K4" s="286"/>
      <c r="L4" s="286"/>
      <c r="M4" s="286"/>
      <c r="N4" s="33"/>
      <c r="O4" s="33"/>
      <c r="P4" s="33"/>
      <c r="Q4" s="33"/>
    </row>
    <row r="5" spans="1:17" ht="8.25" customHeight="1" thickBot="1">
      <c r="B5" s="46"/>
      <c r="L5" s="39"/>
      <c r="M5" s="39"/>
    </row>
    <row r="6" spans="1:17" ht="18" thickTop="1" thickBot="1">
      <c r="B6" s="303" t="s">
        <v>0</v>
      </c>
      <c r="C6" s="303"/>
      <c r="D6" s="303"/>
      <c r="E6" s="2" t="s">
        <v>0</v>
      </c>
      <c r="F6" s="163" t="s">
        <v>290</v>
      </c>
      <c r="G6" s="264" t="s">
        <v>0</v>
      </c>
      <c r="H6" s="163" t="s">
        <v>291</v>
      </c>
      <c r="I6" s="3" t="s">
        <v>0</v>
      </c>
      <c r="J6" s="164" t="s">
        <v>292</v>
      </c>
      <c r="K6" s="3"/>
      <c r="L6" s="153" t="s">
        <v>251</v>
      </c>
      <c r="M6" s="153" t="s">
        <v>252</v>
      </c>
    </row>
    <row r="7" spans="1:17" ht="16.5" customHeight="1" thickTop="1">
      <c r="B7" s="281" t="s">
        <v>1</v>
      </c>
      <c r="C7" s="281"/>
      <c r="D7" s="281"/>
      <c r="E7" s="4" t="s">
        <v>0</v>
      </c>
      <c r="F7" s="198">
        <v>0.1799</v>
      </c>
      <c r="G7" s="260"/>
      <c r="H7" s="198">
        <v>0.15179999999999999</v>
      </c>
      <c r="I7" s="40"/>
      <c r="J7" s="173">
        <v>0.14879999999999999</v>
      </c>
      <c r="K7" s="40"/>
      <c r="L7" s="75">
        <f t="shared" ref="L7:L50" si="0">H7-F7</f>
        <v>-2.8100000000000014E-2</v>
      </c>
      <c r="M7" s="75">
        <f t="shared" ref="M7:M50" si="1">J7-H7</f>
        <v>-3.0000000000000027E-3</v>
      </c>
    </row>
    <row r="8" spans="1:17" ht="16.5" customHeight="1">
      <c r="B8" s="275" t="s">
        <v>2</v>
      </c>
      <c r="C8" s="275"/>
      <c r="D8" s="275"/>
      <c r="E8" s="4" t="s">
        <v>0</v>
      </c>
      <c r="F8" s="198">
        <v>0.13070000000000001</v>
      </c>
      <c r="G8" s="260"/>
      <c r="H8" s="198">
        <v>0.1087</v>
      </c>
      <c r="I8" s="40"/>
      <c r="J8" s="174">
        <v>0.1244</v>
      </c>
      <c r="K8" s="40"/>
      <c r="L8" s="76">
        <f t="shared" si="0"/>
        <v>-2.2000000000000006E-2</v>
      </c>
      <c r="M8" s="76">
        <f t="shared" si="1"/>
        <v>1.5699999999999992E-2</v>
      </c>
    </row>
    <row r="9" spans="1:17" ht="16.5" customHeight="1">
      <c r="B9" s="275" t="s">
        <v>79</v>
      </c>
      <c r="C9" s="275"/>
      <c r="D9" s="275"/>
      <c r="E9" s="4" t="s">
        <v>0</v>
      </c>
      <c r="F9" s="198">
        <v>0.4123</v>
      </c>
      <c r="G9" s="260"/>
      <c r="H9" s="198">
        <v>0.35749999999999998</v>
      </c>
      <c r="I9" s="40"/>
      <c r="J9" s="174">
        <v>0.3322</v>
      </c>
      <c r="K9" s="40"/>
      <c r="L9" s="76">
        <f t="shared" si="0"/>
        <v>-5.4800000000000015E-2</v>
      </c>
      <c r="M9" s="76">
        <f t="shared" si="1"/>
        <v>-2.5299999999999989E-2</v>
      </c>
    </row>
    <row r="10" spans="1:17" ht="16.5" customHeight="1">
      <c r="B10" s="28"/>
      <c r="C10" s="275" t="s">
        <v>103</v>
      </c>
      <c r="D10" s="275"/>
      <c r="E10" s="4" t="s">
        <v>0</v>
      </c>
      <c r="F10" s="198">
        <v>0.31669999999999998</v>
      </c>
      <c r="G10" s="260"/>
      <c r="H10" s="198">
        <v>0.31380000000000002</v>
      </c>
      <c r="I10" s="40"/>
      <c r="J10" s="174">
        <v>0.27560000000000001</v>
      </c>
      <c r="K10" s="40"/>
      <c r="L10" s="76">
        <f t="shared" si="0"/>
        <v>-2.8999999999999582E-3</v>
      </c>
      <c r="M10" s="76">
        <f t="shared" si="1"/>
        <v>-3.8200000000000012E-2</v>
      </c>
    </row>
    <row r="11" spans="1:17" ht="16.5" customHeight="1">
      <c r="B11" s="28"/>
      <c r="C11" s="29" t="s">
        <v>0</v>
      </c>
      <c r="D11" s="11" t="s">
        <v>5</v>
      </c>
      <c r="E11" s="5" t="s">
        <v>0</v>
      </c>
      <c r="F11" s="265">
        <v>0.26590000000000003</v>
      </c>
      <c r="G11" s="259"/>
      <c r="H11" s="265">
        <v>0.24990000000000001</v>
      </c>
      <c r="I11" s="42"/>
      <c r="J11" s="175">
        <v>0.23680000000000001</v>
      </c>
      <c r="K11" s="42"/>
      <c r="L11" s="77">
        <f t="shared" si="0"/>
        <v>-1.6000000000000014E-2</v>
      </c>
      <c r="M11" s="77">
        <f t="shared" si="1"/>
        <v>-1.3100000000000001E-2</v>
      </c>
    </row>
    <row r="12" spans="1:17" ht="16.5" customHeight="1">
      <c r="B12" s="28"/>
      <c r="C12" s="29" t="s">
        <v>0</v>
      </c>
      <c r="D12" s="11" t="s">
        <v>6</v>
      </c>
      <c r="E12" s="5" t="s">
        <v>0</v>
      </c>
      <c r="F12" s="265">
        <v>0.37359999999999999</v>
      </c>
      <c r="G12" s="259"/>
      <c r="H12" s="265">
        <v>0.4289</v>
      </c>
      <c r="I12" s="42"/>
      <c r="J12" s="175">
        <v>0.40010000000000001</v>
      </c>
      <c r="K12" s="42"/>
      <c r="L12" s="77">
        <f t="shared" si="0"/>
        <v>5.5300000000000016E-2</v>
      </c>
      <c r="M12" s="77">
        <f t="shared" si="1"/>
        <v>-2.8799999999999992E-2</v>
      </c>
    </row>
    <row r="13" spans="1:17" ht="16.5" customHeight="1">
      <c r="B13" s="28"/>
      <c r="C13" s="29" t="s">
        <v>0</v>
      </c>
      <c r="D13" s="11" t="s">
        <v>7</v>
      </c>
      <c r="E13" s="5" t="s">
        <v>0</v>
      </c>
      <c r="F13" s="265">
        <v>0.3382</v>
      </c>
      <c r="G13" s="259"/>
      <c r="H13" s="265">
        <v>0.28949999999999998</v>
      </c>
      <c r="I13" s="42"/>
      <c r="J13" s="175">
        <v>0.25080000000000002</v>
      </c>
      <c r="K13" s="42"/>
      <c r="L13" s="77">
        <f t="shared" si="0"/>
        <v>-4.8700000000000021E-2</v>
      </c>
      <c r="M13" s="77">
        <f t="shared" si="1"/>
        <v>-3.8699999999999957E-2</v>
      </c>
    </row>
    <row r="14" spans="1:17" ht="16.5" customHeight="1">
      <c r="B14" s="28"/>
      <c r="C14" s="29" t="s">
        <v>0</v>
      </c>
      <c r="D14" s="11" t="s">
        <v>215</v>
      </c>
      <c r="E14" s="5" t="s">
        <v>0</v>
      </c>
      <c r="F14" s="265">
        <v>0.29049999999999998</v>
      </c>
      <c r="G14" s="259"/>
      <c r="H14" s="265">
        <v>0.28470000000000001</v>
      </c>
      <c r="I14" s="42"/>
      <c r="J14" s="175">
        <v>0.25919999999999999</v>
      </c>
      <c r="K14" s="42"/>
      <c r="L14" s="77">
        <f t="shared" si="0"/>
        <v>-5.7999999999999718E-3</v>
      </c>
      <c r="M14" s="77">
        <f t="shared" si="1"/>
        <v>-2.5500000000000023E-2</v>
      </c>
    </row>
    <row r="15" spans="1:17" ht="16.5" customHeight="1">
      <c r="B15" s="28"/>
      <c r="C15" s="275" t="s">
        <v>104</v>
      </c>
      <c r="D15" s="275"/>
      <c r="E15" s="4" t="s">
        <v>0</v>
      </c>
      <c r="F15" s="198">
        <v>0.50119999999999998</v>
      </c>
      <c r="G15" s="260"/>
      <c r="H15" s="198">
        <v>0.41089999999999999</v>
      </c>
      <c r="I15" s="40"/>
      <c r="J15" s="174">
        <v>0.3826</v>
      </c>
      <c r="K15" s="40"/>
      <c r="L15" s="76">
        <f t="shared" si="0"/>
        <v>-9.0299999999999991E-2</v>
      </c>
      <c r="M15" s="76">
        <f t="shared" si="1"/>
        <v>-2.8299999999999992E-2</v>
      </c>
    </row>
    <row r="16" spans="1:17" ht="16.5" customHeight="1">
      <c r="B16" s="28"/>
      <c r="C16" s="29" t="s">
        <v>0</v>
      </c>
      <c r="D16" s="11" t="s">
        <v>9</v>
      </c>
      <c r="E16" s="5" t="s">
        <v>0</v>
      </c>
      <c r="F16" s="265">
        <v>0.68869999999999998</v>
      </c>
      <c r="G16" s="259"/>
      <c r="H16" s="265">
        <v>0.59860000000000002</v>
      </c>
      <c r="I16" s="42"/>
      <c r="J16" s="175">
        <v>0.5968</v>
      </c>
      <c r="K16" s="42"/>
      <c r="L16" s="77">
        <f t="shared" si="0"/>
        <v>-9.0099999999999958E-2</v>
      </c>
      <c r="M16" s="77">
        <f t="shared" si="1"/>
        <v>-1.8000000000000238E-3</v>
      </c>
    </row>
    <row r="17" spans="2:13" ht="16.5" customHeight="1">
      <c r="B17" s="28"/>
      <c r="C17" s="29" t="s">
        <v>0</v>
      </c>
      <c r="D17" s="11" t="s">
        <v>10</v>
      </c>
      <c r="E17" s="5" t="s">
        <v>0</v>
      </c>
      <c r="F17" s="265">
        <v>0.45129999999999998</v>
      </c>
      <c r="G17" s="259"/>
      <c r="H17" s="265">
        <v>0.39029999999999998</v>
      </c>
      <c r="I17" s="42"/>
      <c r="J17" s="175">
        <v>0.35339999999999999</v>
      </c>
      <c r="K17" s="42"/>
      <c r="L17" s="77">
        <f t="shared" si="0"/>
        <v>-6.0999999999999999E-2</v>
      </c>
      <c r="M17" s="77">
        <f t="shared" si="1"/>
        <v>-3.6899999999999988E-2</v>
      </c>
    </row>
    <row r="18" spans="2:13" ht="16.5" customHeight="1">
      <c r="B18" s="28"/>
      <c r="C18" s="29" t="s">
        <v>0</v>
      </c>
      <c r="D18" s="11" t="s">
        <v>11</v>
      </c>
      <c r="E18" s="5" t="s">
        <v>0</v>
      </c>
      <c r="F18" s="265">
        <v>0.34649999999999997</v>
      </c>
      <c r="G18" s="259"/>
      <c r="H18" s="265">
        <v>0.24729999999999999</v>
      </c>
      <c r="I18" s="42"/>
      <c r="J18" s="175">
        <v>0.23680000000000001</v>
      </c>
      <c r="K18" s="42"/>
      <c r="L18" s="77">
        <f t="shared" si="0"/>
        <v>-9.9199999999999983E-2</v>
      </c>
      <c r="M18" s="77">
        <f t="shared" si="1"/>
        <v>-1.0499999999999982E-2</v>
      </c>
    </row>
    <row r="19" spans="2:13" ht="16.5" customHeight="1">
      <c r="B19" s="28"/>
      <c r="C19" s="29" t="s">
        <v>0</v>
      </c>
      <c r="D19" s="30" t="s">
        <v>12</v>
      </c>
      <c r="E19" s="5" t="s">
        <v>0</v>
      </c>
      <c r="F19" s="265">
        <v>0.56179999999999997</v>
      </c>
      <c r="G19" s="259"/>
      <c r="H19" s="265">
        <v>0.49759999999999999</v>
      </c>
      <c r="I19" s="42"/>
      <c r="J19" s="175">
        <v>0.48039999999999999</v>
      </c>
      <c r="K19" s="42"/>
      <c r="L19" s="77">
        <f t="shared" si="0"/>
        <v>-6.4199999999999979E-2</v>
      </c>
      <c r="M19" s="77">
        <f t="shared" si="1"/>
        <v>-1.7199999999999993E-2</v>
      </c>
    </row>
    <row r="20" spans="2:13" ht="16.5" customHeight="1">
      <c r="B20" s="28"/>
      <c r="C20" s="29" t="s">
        <v>0</v>
      </c>
      <c r="D20" s="11" t="s">
        <v>24</v>
      </c>
      <c r="E20" s="5" t="s">
        <v>0</v>
      </c>
      <c r="F20" s="265">
        <v>0.33710000000000001</v>
      </c>
      <c r="G20" s="259"/>
      <c r="H20" s="265">
        <v>0.24809999999999999</v>
      </c>
      <c r="I20" s="42"/>
      <c r="J20" s="175">
        <v>0.24030000000000001</v>
      </c>
      <c r="K20" s="42"/>
      <c r="L20" s="77">
        <f t="shared" si="0"/>
        <v>-8.9000000000000024E-2</v>
      </c>
      <c r="M20" s="77">
        <f t="shared" si="1"/>
        <v>-7.7999999999999736E-3</v>
      </c>
    </row>
    <row r="21" spans="2:13" ht="16.5" customHeight="1">
      <c r="B21" s="28"/>
      <c r="C21" s="275" t="s">
        <v>105</v>
      </c>
      <c r="D21" s="275"/>
      <c r="E21" s="4" t="s">
        <v>0</v>
      </c>
      <c r="F21" s="198">
        <v>0.39939999999999998</v>
      </c>
      <c r="G21" s="260"/>
      <c r="H21" s="198">
        <v>0.3508</v>
      </c>
      <c r="I21" s="40"/>
      <c r="J21" s="174">
        <v>0.32740000000000002</v>
      </c>
      <c r="K21" s="40"/>
      <c r="L21" s="76">
        <f t="shared" si="0"/>
        <v>-4.8599999999999977E-2</v>
      </c>
      <c r="M21" s="76">
        <f t="shared" si="1"/>
        <v>-2.3399999999999976E-2</v>
      </c>
    </row>
    <row r="22" spans="2:13" ht="16.5" customHeight="1">
      <c r="B22" s="28"/>
      <c r="C22" s="29" t="s">
        <v>0</v>
      </c>
      <c r="D22" s="11" t="s">
        <v>64</v>
      </c>
      <c r="E22" s="5" t="s">
        <v>0</v>
      </c>
      <c r="F22" s="265">
        <v>0.43430000000000002</v>
      </c>
      <c r="G22" s="259"/>
      <c r="H22" s="265">
        <v>0.39589999999999997</v>
      </c>
      <c r="I22" s="42"/>
      <c r="J22" s="175">
        <v>0.36030000000000001</v>
      </c>
      <c r="K22" s="42"/>
      <c r="L22" s="77">
        <f t="shared" si="0"/>
        <v>-3.8400000000000045E-2</v>
      </c>
      <c r="M22" s="77">
        <f t="shared" si="1"/>
        <v>-3.5599999999999965E-2</v>
      </c>
    </row>
    <row r="23" spans="2:13" ht="16.5" customHeight="1">
      <c r="B23" s="28"/>
      <c r="C23" s="29" t="s">
        <v>0</v>
      </c>
      <c r="D23" s="11" t="s">
        <v>25</v>
      </c>
      <c r="E23" s="5" t="s">
        <v>0</v>
      </c>
      <c r="F23" s="265">
        <v>0.36259999999999998</v>
      </c>
      <c r="G23" s="259"/>
      <c r="H23" s="265">
        <v>0.31819999999999998</v>
      </c>
      <c r="I23" s="42"/>
      <c r="J23" s="175">
        <v>0.34399999999999997</v>
      </c>
      <c r="K23" s="42"/>
      <c r="L23" s="77">
        <f t="shared" si="0"/>
        <v>-4.4399999999999995E-2</v>
      </c>
      <c r="M23" s="77">
        <f t="shared" si="1"/>
        <v>2.579999999999999E-2</v>
      </c>
    </row>
    <row r="24" spans="2:13" ht="16.5" customHeight="1">
      <c r="B24" s="28"/>
      <c r="C24" s="29" t="s">
        <v>0</v>
      </c>
      <c r="D24" s="11" t="s">
        <v>26</v>
      </c>
      <c r="E24" s="5" t="s">
        <v>0</v>
      </c>
      <c r="F24" s="265">
        <v>0.33789999999999998</v>
      </c>
      <c r="G24" s="259"/>
      <c r="H24" s="265">
        <v>0.29149999999999998</v>
      </c>
      <c r="I24" s="42"/>
      <c r="J24" s="175">
        <v>0.27800000000000002</v>
      </c>
      <c r="K24" s="42"/>
      <c r="L24" s="77">
        <f t="shared" si="0"/>
        <v>-4.6399999999999997E-2</v>
      </c>
      <c r="M24" s="77">
        <f t="shared" si="1"/>
        <v>-1.3499999999999956E-2</v>
      </c>
    </row>
    <row r="25" spans="2:13" ht="16.5" customHeight="1">
      <c r="B25" s="28"/>
      <c r="C25" s="29" t="s">
        <v>0</v>
      </c>
      <c r="D25" s="11" t="s">
        <v>27</v>
      </c>
      <c r="E25" s="5" t="s">
        <v>0</v>
      </c>
      <c r="F25" s="265">
        <v>0.37219999999999998</v>
      </c>
      <c r="G25" s="259"/>
      <c r="H25" s="265">
        <v>0.32279999999999998</v>
      </c>
      <c r="I25" s="42"/>
      <c r="J25" s="175">
        <v>0.30280000000000001</v>
      </c>
      <c r="K25" s="42"/>
      <c r="L25" s="77">
        <f t="shared" si="0"/>
        <v>-4.9399999999999999E-2</v>
      </c>
      <c r="M25" s="77">
        <f t="shared" si="1"/>
        <v>-1.9999999999999962E-2</v>
      </c>
    </row>
    <row r="26" spans="2:13" s="128" customFormat="1" ht="16.5" customHeight="1">
      <c r="B26" s="127"/>
      <c r="C26" s="275" t="s">
        <v>216</v>
      </c>
      <c r="D26" s="275"/>
      <c r="E26" s="4"/>
      <c r="F26" s="198">
        <v>0.1774</v>
      </c>
      <c r="G26" s="260"/>
      <c r="H26" s="198">
        <v>0.1467</v>
      </c>
      <c r="I26" s="40"/>
      <c r="J26" s="174">
        <v>0.1186</v>
      </c>
      <c r="K26" s="40"/>
      <c r="L26" s="76">
        <f t="shared" si="0"/>
        <v>-3.0700000000000005E-2</v>
      </c>
      <c r="M26" s="76">
        <f t="shared" si="1"/>
        <v>-2.81E-2</v>
      </c>
    </row>
    <row r="27" spans="2:13" ht="16.5" customHeight="1">
      <c r="B27" s="275" t="s">
        <v>106</v>
      </c>
      <c r="C27" s="275"/>
      <c r="D27" s="275"/>
      <c r="E27" s="4" t="s">
        <v>0</v>
      </c>
      <c r="F27" s="198">
        <v>0.47099999999999997</v>
      </c>
      <c r="G27" s="260"/>
      <c r="H27" s="198">
        <v>0.39729999999999999</v>
      </c>
      <c r="I27" s="40"/>
      <c r="J27" s="174">
        <v>0.3417</v>
      </c>
      <c r="K27" s="40"/>
      <c r="L27" s="76">
        <f t="shared" si="0"/>
        <v>-7.3699999999999988E-2</v>
      </c>
      <c r="M27" s="76">
        <f t="shared" si="1"/>
        <v>-5.5599999999999983E-2</v>
      </c>
    </row>
    <row r="28" spans="2:13" ht="16.5" customHeight="1">
      <c r="B28" s="28"/>
      <c r="C28" s="29" t="s">
        <v>0</v>
      </c>
      <c r="D28" s="11" t="s">
        <v>107</v>
      </c>
      <c r="E28" s="5" t="s">
        <v>0</v>
      </c>
      <c r="F28" s="265">
        <v>0.55100000000000005</v>
      </c>
      <c r="G28" s="259"/>
      <c r="H28" s="265">
        <v>0.46789999999999998</v>
      </c>
      <c r="I28" s="42"/>
      <c r="J28" s="175">
        <v>0.43530000000000002</v>
      </c>
      <c r="K28" s="42"/>
      <c r="L28" s="77">
        <f t="shared" si="0"/>
        <v>-8.3100000000000063E-2</v>
      </c>
      <c r="M28" s="77">
        <f t="shared" si="1"/>
        <v>-3.2599999999999962E-2</v>
      </c>
    </row>
    <row r="29" spans="2:13" ht="16.5" customHeight="1">
      <c r="B29" s="28"/>
      <c r="C29" s="29" t="s">
        <v>0</v>
      </c>
      <c r="D29" s="11" t="s">
        <v>108</v>
      </c>
      <c r="E29" s="5" t="s">
        <v>0</v>
      </c>
      <c r="F29" s="265">
        <v>0.20910000000000001</v>
      </c>
      <c r="G29" s="259"/>
      <c r="H29" s="265">
        <v>0.1303</v>
      </c>
      <c r="I29" s="42"/>
      <c r="J29" s="175">
        <v>0.12189999999999999</v>
      </c>
      <c r="K29" s="42"/>
      <c r="L29" s="77">
        <f t="shared" si="0"/>
        <v>-7.8800000000000009E-2</v>
      </c>
      <c r="M29" s="77">
        <f t="shared" si="1"/>
        <v>-8.4000000000000047E-3</v>
      </c>
    </row>
    <row r="30" spans="2:13" ht="16.5" customHeight="1">
      <c r="B30" s="275" t="s">
        <v>15</v>
      </c>
      <c r="C30" s="275"/>
      <c r="D30" s="275"/>
      <c r="E30" s="5" t="s">
        <v>0</v>
      </c>
      <c r="F30" s="198">
        <v>0.23139999999999999</v>
      </c>
      <c r="G30" s="259"/>
      <c r="H30" s="198">
        <v>0.19600000000000001</v>
      </c>
      <c r="I30" s="42"/>
      <c r="J30" s="174">
        <v>0.16719999999999999</v>
      </c>
      <c r="K30" s="42"/>
      <c r="L30" s="76">
        <f t="shared" si="0"/>
        <v>-3.5399999999999987E-2</v>
      </c>
      <c r="M30" s="76">
        <f t="shared" si="1"/>
        <v>-2.880000000000002E-2</v>
      </c>
    </row>
    <row r="31" spans="2:13" ht="16.5" customHeight="1">
      <c r="B31" s="276" t="s">
        <v>109</v>
      </c>
      <c r="C31" s="276"/>
      <c r="D31" s="276"/>
      <c r="E31" s="4" t="s">
        <v>0</v>
      </c>
      <c r="F31" s="198">
        <v>0.1482</v>
      </c>
      <c r="G31" s="260"/>
      <c r="H31" s="198">
        <v>0.125</v>
      </c>
      <c r="I31" s="40"/>
      <c r="J31" s="174">
        <v>0.1114</v>
      </c>
      <c r="K31" s="40"/>
      <c r="L31" s="76">
        <f t="shared" si="0"/>
        <v>-2.3199999999999998E-2</v>
      </c>
      <c r="M31" s="76">
        <f t="shared" si="1"/>
        <v>-1.3600000000000001E-2</v>
      </c>
    </row>
    <row r="32" spans="2:13" ht="16.5" customHeight="1">
      <c r="B32" s="28"/>
      <c r="C32" s="275" t="s">
        <v>110</v>
      </c>
      <c r="D32" s="275"/>
      <c r="E32" s="4" t="s">
        <v>0</v>
      </c>
      <c r="F32" s="198">
        <v>0.2233</v>
      </c>
      <c r="G32" s="260"/>
      <c r="H32" s="198">
        <v>0.1772</v>
      </c>
      <c r="I32" s="40"/>
      <c r="J32" s="174">
        <v>0.14050000000000001</v>
      </c>
      <c r="K32" s="40"/>
      <c r="L32" s="76">
        <f t="shared" si="0"/>
        <v>-4.6100000000000002E-2</v>
      </c>
      <c r="M32" s="76">
        <f t="shared" si="1"/>
        <v>-3.6699999999999983E-2</v>
      </c>
    </row>
    <row r="33" spans="2:15" ht="16.5" customHeight="1">
      <c r="B33" s="28"/>
      <c r="C33" s="29" t="s">
        <v>0</v>
      </c>
      <c r="D33" s="11" t="s">
        <v>28</v>
      </c>
      <c r="E33" s="5" t="s">
        <v>0</v>
      </c>
      <c r="F33" s="265">
        <v>0.1212</v>
      </c>
      <c r="G33" s="259"/>
      <c r="H33" s="265">
        <v>0.1133</v>
      </c>
      <c r="I33" s="42"/>
      <c r="J33" s="175">
        <v>0.104</v>
      </c>
      <c r="K33" s="42"/>
      <c r="L33" s="77">
        <f t="shared" si="0"/>
        <v>-7.9000000000000042E-3</v>
      </c>
      <c r="M33" s="77">
        <f t="shared" si="1"/>
        <v>-9.3000000000000027E-3</v>
      </c>
    </row>
    <row r="34" spans="2:15" ht="16.5" customHeight="1">
      <c r="B34" s="28"/>
      <c r="C34" s="29" t="s">
        <v>0</v>
      </c>
      <c r="D34" s="11" t="s">
        <v>17</v>
      </c>
      <c r="E34" s="5" t="s">
        <v>0</v>
      </c>
      <c r="F34" s="265">
        <v>0.4214</v>
      </c>
      <c r="G34" s="259"/>
      <c r="H34" s="265">
        <v>0.33739999999999998</v>
      </c>
      <c r="I34" s="42"/>
      <c r="J34" s="175">
        <v>0.27550000000000002</v>
      </c>
      <c r="K34" s="42"/>
      <c r="L34" s="77">
        <f t="shared" si="0"/>
        <v>-8.4000000000000019E-2</v>
      </c>
      <c r="M34" s="77">
        <f t="shared" si="1"/>
        <v>-6.1899999999999955E-2</v>
      </c>
    </row>
    <row r="35" spans="2:15" ht="16.5" customHeight="1">
      <c r="B35" s="28"/>
      <c r="C35" s="275" t="s">
        <v>111</v>
      </c>
      <c r="D35" s="275"/>
      <c r="E35" s="4" t="s">
        <v>0</v>
      </c>
      <c r="F35" s="198">
        <v>0.1038</v>
      </c>
      <c r="G35" s="260"/>
      <c r="H35" s="198">
        <v>8.9399999999999993E-2</v>
      </c>
      <c r="I35" s="40"/>
      <c r="J35" s="174">
        <v>8.1699999999999995E-2</v>
      </c>
      <c r="K35" s="40"/>
      <c r="L35" s="76">
        <f t="shared" si="0"/>
        <v>-1.440000000000001E-2</v>
      </c>
      <c r="M35" s="76">
        <f t="shared" si="1"/>
        <v>-7.6999999999999985E-3</v>
      </c>
    </row>
    <row r="36" spans="2:15" ht="16.5" customHeight="1">
      <c r="B36" s="28"/>
      <c r="C36" s="29" t="s">
        <v>0</v>
      </c>
      <c r="D36" s="11" t="s">
        <v>29</v>
      </c>
      <c r="E36" s="5" t="s">
        <v>0</v>
      </c>
      <c r="F36" s="265">
        <v>0.1489</v>
      </c>
      <c r="G36" s="259"/>
      <c r="H36" s="265">
        <v>0.13039999999999999</v>
      </c>
      <c r="I36" s="42"/>
      <c r="J36" s="175">
        <v>0.13420000000000001</v>
      </c>
      <c r="K36" s="42"/>
      <c r="L36" s="77">
        <f t="shared" si="0"/>
        <v>-1.8500000000000016E-2</v>
      </c>
      <c r="M36" s="77">
        <f t="shared" si="1"/>
        <v>3.8000000000000256E-3</v>
      </c>
    </row>
    <row r="37" spans="2:15" ht="16.5" customHeight="1">
      <c r="B37" s="28"/>
      <c r="C37" s="29" t="s">
        <v>0</v>
      </c>
      <c r="D37" s="11" t="s">
        <v>30</v>
      </c>
      <c r="E37" s="5" t="s">
        <v>0</v>
      </c>
      <c r="F37" s="265">
        <v>9.2100000000000001E-2</v>
      </c>
      <c r="G37" s="259"/>
      <c r="H37" s="265">
        <v>7.2900000000000006E-2</v>
      </c>
      <c r="I37" s="42"/>
      <c r="J37" s="175">
        <v>6.1499999999999999E-2</v>
      </c>
      <c r="K37" s="42"/>
      <c r="L37" s="77">
        <f t="shared" si="0"/>
        <v>-1.9199999999999995E-2</v>
      </c>
      <c r="M37" s="77">
        <f t="shared" si="1"/>
        <v>-1.1400000000000007E-2</v>
      </c>
    </row>
    <row r="38" spans="2:15" ht="16.5" customHeight="1">
      <c r="B38" s="28"/>
      <c r="C38" s="29" t="s">
        <v>0</v>
      </c>
      <c r="D38" s="11" t="s">
        <v>31</v>
      </c>
      <c r="E38" s="5" t="s">
        <v>0</v>
      </c>
      <c r="F38" s="265">
        <v>4.07E-2</v>
      </c>
      <c r="G38" s="259"/>
      <c r="H38" s="265">
        <v>3.5499999999999997E-2</v>
      </c>
      <c r="I38" s="42"/>
      <c r="J38" s="175">
        <v>3.2000000000000001E-2</v>
      </c>
      <c r="K38" s="42"/>
      <c r="L38" s="77">
        <f t="shared" si="0"/>
        <v>-5.2000000000000032E-3</v>
      </c>
      <c r="M38" s="77">
        <f t="shared" si="1"/>
        <v>-3.4999999999999962E-3</v>
      </c>
    </row>
    <row r="39" spans="2:15" ht="16.5" customHeight="1">
      <c r="B39" s="28"/>
      <c r="C39" s="29" t="s">
        <v>0</v>
      </c>
      <c r="D39" s="11" t="s">
        <v>32</v>
      </c>
      <c r="E39" s="5" t="s">
        <v>0</v>
      </c>
      <c r="F39" s="265">
        <v>0.1676</v>
      </c>
      <c r="G39" s="259"/>
      <c r="H39" s="265">
        <v>0.1391</v>
      </c>
      <c r="I39" s="42"/>
      <c r="J39" s="175">
        <v>0.1176</v>
      </c>
      <c r="K39" s="42"/>
      <c r="L39" s="77">
        <f t="shared" si="0"/>
        <v>-2.8499999999999998E-2</v>
      </c>
      <c r="M39" s="77">
        <f t="shared" si="1"/>
        <v>-2.1500000000000005E-2</v>
      </c>
    </row>
    <row r="40" spans="2:15" ht="16.5" customHeight="1">
      <c r="B40" s="28"/>
      <c r="C40" s="29" t="s">
        <v>0</v>
      </c>
      <c r="D40" s="11" t="s">
        <v>33</v>
      </c>
      <c r="E40" s="5" t="s">
        <v>0</v>
      </c>
      <c r="F40" s="265">
        <v>8.9899999999999994E-2</v>
      </c>
      <c r="G40" s="259"/>
      <c r="H40" s="265">
        <v>8.5300000000000001E-2</v>
      </c>
      <c r="I40" s="42"/>
      <c r="J40" s="175">
        <v>8.7900000000000006E-2</v>
      </c>
      <c r="K40" s="42"/>
      <c r="L40" s="77">
        <f t="shared" si="0"/>
        <v>-4.599999999999993E-3</v>
      </c>
      <c r="M40" s="77">
        <f t="shared" si="1"/>
        <v>2.6000000000000051E-3</v>
      </c>
    </row>
    <row r="41" spans="2:15" ht="16.5" customHeight="1">
      <c r="B41" s="28"/>
      <c r="C41" s="275" t="s">
        <v>112</v>
      </c>
      <c r="D41" s="275"/>
      <c r="E41" s="4" t="s">
        <v>0</v>
      </c>
      <c r="F41" s="198">
        <v>0.115</v>
      </c>
      <c r="G41" s="260"/>
      <c r="H41" s="198">
        <v>0.1031</v>
      </c>
      <c r="I41" s="40"/>
      <c r="J41" s="174">
        <v>9.7500000000000003E-2</v>
      </c>
      <c r="K41" s="40"/>
      <c r="L41" s="76">
        <f t="shared" si="0"/>
        <v>-1.1900000000000008E-2</v>
      </c>
      <c r="M41" s="76">
        <f t="shared" si="1"/>
        <v>-5.5999999999999939E-3</v>
      </c>
    </row>
    <row r="42" spans="2:15" ht="16.5" customHeight="1">
      <c r="B42" s="28"/>
      <c r="C42" s="29" t="s">
        <v>0</v>
      </c>
      <c r="D42" s="11" t="s">
        <v>34</v>
      </c>
      <c r="E42" s="5" t="s">
        <v>0</v>
      </c>
      <c r="F42" s="265">
        <v>8.3799999999999999E-2</v>
      </c>
      <c r="G42" s="259"/>
      <c r="H42" s="265">
        <v>6.2600000000000003E-2</v>
      </c>
      <c r="I42" s="42"/>
      <c r="J42" s="175">
        <v>7.1499999999999994E-2</v>
      </c>
      <c r="K42" s="42"/>
      <c r="L42" s="77">
        <f t="shared" si="0"/>
        <v>-2.1199999999999997E-2</v>
      </c>
      <c r="M42" s="77">
        <f t="shared" si="1"/>
        <v>8.8999999999999913E-3</v>
      </c>
    </row>
    <row r="43" spans="2:15" ht="16.5" customHeight="1">
      <c r="B43" s="28"/>
      <c r="C43" s="29" t="s">
        <v>0</v>
      </c>
      <c r="D43" s="11" t="s">
        <v>20</v>
      </c>
      <c r="E43" s="5" t="s">
        <v>0</v>
      </c>
      <c r="F43" s="265">
        <v>8.1699999999999995E-2</v>
      </c>
      <c r="G43" s="259"/>
      <c r="H43" s="265">
        <v>7.9799999999999996E-2</v>
      </c>
      <c r="I43" s="42"/>
      <c r="J43" s="175">
        <v>7.0300000000000001E-2</v>
      </c>
      <c r="K43" s="42"/>
      <c r="L43" s="77">
        <f t="shared" si="0"/>
        <v>-1.8999999999999989E-3</v>
      </c>
      <c r="M43" s="77">
        <f t="shared" si="1"/>
        <v>-9.4999999999999946E-3</v>
      </c>
    </row>
    <row r="44" spans="2:15" ht="16.5" customHeight="1">
      <c r="B44" s="28"/>
      <c r="C44" s="29" t="s">
        <v>0</v>
      </c>
      <c r="D44" s="11" t="s">
        <v>21</v>
      </c>
      <c r="E44" s="5" t="s">
        <v>0</v>
      </c>
      <c r="F44" s="265">
        <v>0.1799</v>
      </c>
      <c r="G44" s="259"/>
      <c r="H44" s="265">
        <v>0.1673</v>
      </c>
      <c r="I44" s="42"/>
      <c r="J44" s="175">
        <v>0.13850000000000001</v>
      </c>
      <c r="K44" s="42"/>
      <c r="L44" s="77">
        <f t="shared" si="0"/>
        <v>-1.26E-2</v>
      </c>
      <c r="M44" s="77">
        <f t="shared" si="1"/>
        <v>-2.8799999999999992E-2</v>
      </c>
    </row>
    <row r="45" spans="2:15" ht="16.5" customHeight="1">
      <c r="B45" s="28"/>
      <c r="C45" s="275" t="s">
        <v>113</v>
      </c>
      <c r="D45" s="275"/>
      <c r="E45" s="4" t="s">
        <v>0</v>
      </c>
      <c r="F45" s="198">
        <v>0.18629999999999999</v>
      </c>
      <c r="G45" s="260"/>
      <c r="H45" s="198">
        <v>0.17949999999999999</v>
      </c>
      <c r="I45" s="40"/>
      <c r="J45" s="174">
        <v>0.1701</v>
      </c>
      <c r="K45" s="40"/>
      <c r="L45" s="76">
        <f t="shared" si="0"/>
        <v>-6.8000000000000005E-3</v>
      </c>
      <c r="M45" s="76">
        <f t="shared" si="1"/>
        <v>-9.3999999999999917E-3</v>
      </c>
    </row>
    <row r="46" spans="2:15" ht="16.5" customHeight="1">
      <c r="B46" s="28"/>
      <c r="C46" s="29" t="s">
        <v>0</v>
      </c>
      <c r="D46" s="11" t="s">
        <v>23</v>
      </c>
      <c r="E46" s="5" t="s">
        <v>0</v>
      </c>
      <c r="F46" s="265">
        <v>0.19189999999999999</v>
      </c>
      <c r="G46" s="259"/>
      <c r="H46" s="265">
        <v>0.17630000000000001</v>
      </c>
      <c r="I46" s="42"/>
      <c r="J46" s="175">
        <v>0.17749999999999999</v>
      </c>
      <c r="K46" s="42"/>
      <c r="L46" s="77">
        <f t="shared" si="0"/>
        <v>-1.5599999999999975E-2</v>
      </c>
      <c r="M46" s="77">
        <f t="shared" si="1"/>
        <v>1.1999999999999789E-3</v>
      </c>
    </row>
    <row r="47" spans="2:15" ht="16.5" customHeight="1">
      <c r="B47" s="28"/>
      <c r="C47" s="29" t="s">
        <v>0</v>
      </c>
      <c r="D47" s="11" t="s">
        <v>35</v>
      </c>
      <c r="E47" s="5" t="s">
        <v>0</v>
      </c>
      <c r="F47" s="265">
        <v>0.13300000000000001</v>
      </c>
      <c r="G47" s="259"/>
      <c r="H47" s="265">
        <v>0.115</v>
      </c>
      <c r="I47" s="42"/>
      <c r="J47" s="176">
        <v>0.1051</v>
      </c>
      <c r="K47" s="44"/>
      <c r="L47" s="78">
        <f t="shared" si="0"/>
        <v>-1.8000000000000002E-2</v>
      </c>
      <c r="M47" s="78">
        <f t="shared" si="1"/>
        <v>-9.900000000000006E-3</v>
      </c>
      <c r="O47" s="10"/>
    </row>
    <row r="48" spans="2:15" ht="16.5" customHeight="1">
      <c r="B48" s="28"/>
      <c r="C48" s="29"/>
      <c r="D48" s="11" t="s">
        <v>36</v>
      </c>
      <c r="E48" s="5"/>
      <c r="F48" s="265">
        <v>0.1726</v>
      </c>
      <c r="G48" s="259"/>
      <c r="H48" s="265">
        <v>0.16639999999999999</v>
      </c>
      <c r="I48" s="42"/>
      <c r="J48" s="176">
        <v>0.1565</v>
      </c>
      <c r="K48" s="44"/>
      <c r="L48" s="78">
        <f t="shared" si="0"/>
        <v>-6.2000000000000111E-3</v>
      </c>
      <c r="M48" s="78">
        <f t="shared" si="1"/>
        <v>-9.8999999999999921E-3</v>
      </c>
      <c r="O48" s="10"/>
    </row>
    <row r="49" spans="2:13" ht="16.5" customHeight="1">
      <c r="B49" s="275" t="s">
        <v>114</v>
      </c>
      <c r="C49" s="275"/>
      <c r="D49" s="275"/>
      <c r="E49" s="4" t="s">
        <v>0</v>
      </c>
      <c r="F49" s="198">
        <v>0</v>
      </c>
      <c r="G49" s="260"/>
      <c r="H49" s="198">
        <v>0.17960000000000001</v>
      </c>
      <c r="I49" s="40"/>
      <c r="J49" s="174">
        <v>0.12509999999999999</v>
      </c>
      <c r="K49" s="40"/>
      <c r="L49" s="76">
        <f t="shared" si="0"/>
        <v>0.17960000000000001</v>
      </c>
      <c r="M49" s="76">
        <f t="shared" si="1"/>
        <v>-5.4500000000000021E-2</v>
      </c>
    </row>
    <row r="50" spans="2:13" ht="16.5" customHeight="1" thickBot="1">
      <c r="B50" s="302" t="s">
        <v>318</v>
      </c>
      <c r="C50" s="302"/>
      <c r="D50" s="302"/>
      <c r="E50" s="6" t="s">
        <v>0</v>
      </c>
      <c r="F50" s="266">
        <v>0.27150000000000002</v>
      </c>
      <c r="G50" s="267"/>
      <c r="H50" s="266">
        <v>0.22570000000000001</v>
      </c>
      <c r="I50" s="80"/>
      <c r="J50" s="177">
        <v>0.1938</v>
      </c>
      <c r="K50" s="80"/>
      <c r="L50" s="79">
        <f t="shared" si="0"/>
        <v>-4.5800000000000007E-2</v>
      </c>
      <c r="M50" s="79">
        <f t="shared" si="1"/>
        <v>-3.1900000000000012E-2</v>
      </c>
    </row>
    <row r="51" spans="2:13" ht="9" customHeight="1" thickTop="1"/>
    <row r="52" spans="2:13">
      <c r="D52" s="12" t="s">
        <v>340</v>
      </c>
    </row>
    <row r="53" spans="2:13">
      <c r="D53" s="12" t="s">
        <v>221</v>
      </c>
      <c r="E53" s="24"/>
      <c r="G53" s="24"/>
      <c r="I53" s="24"/>
      <c r="J53" s="23"/>
      <c r="K53" s="23"/>
    </row>
    <row r="54" spans="2:13">
      <c r="D54" s="12" t="s">
        <v>222</v>
      </c>
    </row>
  </sheetData>
  <mergeCells count="19">
    <mergeCell ref="B50:D50"/>
    <mergeCell ref="C21:D21"/>
    <mergeCell ref="B27:D27"/>
    <mergeCell ref="B30:D30"/>
    <mergeCell ref="B31:D31"/>
    <mergeCell ref="C32:D32"/>
    <mergeCell ref="C35:D35"/>
    <mergeCell ref="C26:D26"/>
    <mergeCell ref="B4:M4"/>
    <mergeCell ref="B3:M3"/>
    <mergeCell ref="C41:D41"/>
    <mergeCell ref="C45:D45"/>
    <mergeCell ref="B49:D49"/>
    <mergeCell ref="C15:D15"/>
    <mergeCell ref="B6:D6"/>
    <mergeCell ref="B7:D7"/>
    <mergeCell ref="B8:D8"/>
    <mergeCell ref="B9:D9"/>
    <mergeCell ref="C10:D10"/>
  </mergeCells>
  <phoneticPr fontId="1" type="noConversion"/>
  <hyperlinks>
    <hyperlink ref="A1" location="목차!A1" display="(목차로 이동)" xr:uid="{00000000-0004-0000-0D00-000000000000}"/>
  </hyperlinks>
  <pageMargins left="0.70866141732283472" right="0.70866141732283472" top="0.74803149606299213" bottom="0.74803149606299213" header="0.31496062992125984" footer="0.31496062992125984"/>
  <pageSetup paperSize="9" scale="80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5" tint="0.79998168889431442"/>
    <pageSetUpPr fitToPage="1"/>
  </sheetPr>
  <dimension ref="A1:P61"/>
  <sheetViews>
    <sheetView view="pageBreakPreview" topLeftCell="A31" zoomScaleNormal="100" zoomScaleSheetLayoutView="100" workbookViewId="0">
      <selection activeCell="D53" sqref="D53"/>
    </sheetView>
  </sheetViews>
  <sheetFormatPr defaultRowHeight="16.5"/>
  <cols>
    <col min="1" max="1" width="2.625" customWidth="1"/>
    <col min="2" max="2" width="2.125" customWidth="1"/>
    <col min="3" max="3" width="2.125" style="7" customWidth="1"/>
    <col min="4" max="4" width="26.625" style="7" customWidth="1"/>
    <col min="5" max="5" width="1.625" customWidth="1"/>
    <col min="6" max="8" width="8.625" style="14" customWidth="1"/>
    <col min="9" max="9" width="1.625" style="14" customWidth="1"/>
    <col min="10" max="12" width="8.625" style="14" customWidth="1"/>
    <col min="13" max="13" width="1.625" style="14" customWidth="1"/>
    <col min="14" max="16384" width="9" style="14"/>
  </cols>
  <sheetData>
    <row r="1" spans="1:16" ht="16.5" customHeight="1">
      <c r="A1" s="32" t="s">
        <v>46</v>
      </c>
    </row>
    <row r="2" spans="1:16" ht="6" customHeight="1">
      <c r="A2" s="32"/>
    </row>
    <row r="3" spans="1:16" ht="18.75" customHeight="1">
      <c r="A3" s="14"/>
      <c r="B3" s="278" t="s">
        <v>69</v>
      </c>
      <c r="C3" s="278"/>
      <c r="D3" s="278"/>
      <c r="E3" s="278"/>
      <c r="F3" s="278"/>
      <c r="G3" s="278"/>
      <c r="H3" s="278"/>
      <c r="I3" s="278"/>
      <c r="J3" s="278"/>
      <c r="K3" s="278"/>
      <c r="L3" s="278"/>
      <c r="M3" s="72"/>
      <c r="N3" s="72"/>
      <c r="O3" s="72"/>
      <c r="P3" s="72"/>
    </row>
    <row r="4" spans="1:16" ht="18.75" customHeight="1">
      <c r="B4" s="304"/>
      <c r="C4" s="304"/>
      <c r="D4" s="304"/>
      <c r="E4" s="304"/>
      <c r="F4" s="304"/>
      <c r="G4" s="304"/>
      <c r="H4" s="304"/>
      <c r="I4" s="304"/>
      <c r="J4" s="304"/>
      <c r="K4" s="304"/>
      <c r="L4" s="304"/>
      <c r="M4" s="72"/>
      <c r="N4" s="72"/>
    </row>
    <row r="5" spans="1:16" ht="8.25" customHeight="1" thickBot="1">
      <c r="B5" s="304"/>
      <c r="C5" s="304"/>
      <c r="D5" s="304"/>
      <c r="E5" s="304"/>
      <c r="F5" s="304"/>
      <c r="G5" s="304"/>
      <c r="H5" s="304"/>
      <c r="I5" s="304"/>
      <c r="J5" s="304"/>
      <c r="K5" s="304"/>
      <c r="L5" s="304"/>
      <c r="M5" s="73"/>
      <c r="N5" s="73"/>
      <c r="O5" s="73"/>
      <c r="P5" s="73"/>
    </row>
    <row r="6" spans="1:16" ht="18" customHeight="1" thickTop="1">
      <c r="B6" s="306" t="s">
        <v>0</v>
      </c>
      <c r="C6" s="306"/>
      <c r="D6" s="306"/>
      <c r="E6" s="131"/>
      <c r="F6" s="307" t="s">
        <v>260</v>
      </c>
      <c r="G6" s="307"/>
      <c r="H6" s="307"/>
      <c r="I6" s="132"/>
      <c r="J6" s="307" t="s">
        <v>261</v>
      </c>
      <c r="K6" s="307"/>
      <c r="L6" s="307"/>
      <c r="M6" s="27"/>
    </row>
    <row r="7" spans="1:16" ht="18" customHeight="1" thickBot="1">
      <c r="B7" s="305" t="s">
        <v>0</v>
      </c>
      <c r="C7" s="305"/>
      <c r="D7" s="305"/>
      <c r="E7" s="26" t="s">
        <v>0</v>
      </c>
      <c r="F7" s="155" t="s">
        <v>248</v>
      </c>
      <c r="G7" s="155" t="s">
        <v>249</v>
      </c>
      <c r="H7" s="156" t="s">
        <v>287</v>
      </c>
      <c r="I7" s="165"/>
      <c r="J7" s="155" t="s">
        <v>248</v>
      </c>
      <c r="K7" s="155" t="s">
        <v>249</v>
      </c>
      <c r="L7" s="156" t="s">
        <v>287</v>
      </c>
      <c r="M7" s="27"/>
    </row>
    <row r="8" spans="1:16" ht="16.5" customHeight="1" thickTop="1">
      <c r="B8" s="281" t="s">
        <v>1</v>
      </c>
      <c r="C8" s="281"/>
      <c r="D8" s="281"/>
      <c r="E8" s="4" t="s">
        <v>0</v>
      </c>
      <c r="F8" s="106">
        <v>1.0134000000000001</v>
      </c>
      <c r="G8" s="106">
        <v>0.93259999999999998</v>
      </c>
      <c r="H8" s="178">
        <v>0.94520000000000004</v>
      </c>
      <c r="I8" s="107"/>
      <c r="J8" s="108">
        <v>0.64219999999999999</v>
      </c>
      <c r="K8" s="108">
        <v>0.60189999999999999</v>
      </c>
      <c r="L8" s="183">
        <v>0.58120000000000005</v>
      </c>
      <c r="M8" s="74"/>
    </row>
    <row r="9" spans="1:16" ht="16.5" customHeight="1">
      <c r="B9" s="275" t="s">
        <v>2</v>
      </c>
      <c r="C9" s="275"/>
      <c r="D9" s="275"/>
      <c r="E9" s="4" t="s">
        <v>0</v>
      </c>
      <c r="F9" s="106">
        <v>0.99670000000000003</v>
      </c>
      <c r="G9" s="106">
        <v>0.95189999999999997</v>
      </c>
      <c r="H9" s="178">
        <v>1.024</v>
      </c>
      <c r="I9" s="107"/>
      <c r="J9" s="106">
        <v>0.55959999999999999</v>
      </c>
      <c r="K9" s="106">
        <v>0.52439999999999998</v>
      </c>
      <c r="L9" s="178">
        <v>0.51200000000000001</v>
      </c>
      <c r="M9" s="74"/>
    </row>
    <row r="10" spans="1:16" ht="16.5" customHeight="1">
      <c r="B10" s="275" t="s">
        <v>3</v>
      </c>
      <c r="C10" s="275"/>
      <c r="D10" s="275"/>
      <c r="E10" s="4" t="s">
        <v>0</v>
      </c>
      <c r="F10" s="106">
        <v>1.0573999999999999</v>
      </c>
      <c r="G10" s="106">
        <v>1.0116000000000001</v>
      </c>
      <c r="H10" s="178">
        <v>0.99890000000000001</v>
      </c>
      <c r="I10" s="107"/>
      <c r="J10" s="106">
        <v>1.9993000000000001</v>
      </c>
      <c r="K10" s="106">
        <v>2.0398999999999998</v>
      </c>
      <c r="L10" s="178">
        <v>1.9246000000000001</v>
      </c>
      <c r="M10" s="74"/>
    </row>
    <row r="11" spans="1:16" ht="16.5" customHeight="1">
      <c r="B11" s="28"/>
      <c r="C11" s="275" t="s">
        <v>4</v>
      </c>
      <c r="D11" s="275"/>
      <c r="E11" s="4" t="s">
        <v>0</v>
      </c>
      <c r="F11" s="106">
        <v>1.2081</v>
      </c>
      <c r="G11" s="106">
        <v>1.1001000000000001</v>
      </c>
      <c r="H11" s="178">
        <v>1.1006</v>
      </c>
      <c r="I11" s="107"/>
      <c r="J11" s="106">
        <v>1.171</v>
      </c>
      <c r="K11" s="106">
        <v>1.2089000000000001</v>
      </c>
      <c r="L11" s="178">
        <v>1.1467000000000001</v>
      </c>
      <c r="M11" s="74"/>
    </row>
    <row r="12" spans="1:16" ht="16.5" customHeight="1">
      <c r="B12" s="28"/>
      <c r="C12" s="29" t="s">
        <v>0</v>
      </c>
      <c r="D12" s="11" t="s">
        <v>5</v>
      </c>
      <c r="E12" s="5" t="s">
        <v>0</v>
      </c>
      <c r="F12" s="109">
        <v>1.1880999999999999</v>
      </c>
      <c r="G12" s="109">
        <v>1.1712</v>
      </c>
      <c r="H12" s="179">
        <v>1.1595</v>
      </c>
      <c r="I12" s="107"/>
      <c r="J12" s="109">
        <v>1.0457000000000001</v>
      </c>
      <c r="K12" s="109">
        <v>1.2397</v>
      </c>
      <c r="L12" s="179">
        <v>1.131</v>
      </c>
      <c r="M12" s="74"/>
    </row>
    <row r="13" spans="1:16" ht="16.5" customHeight="1">
      <c r="B13" s="28"/>
      <c r="C13" s="29" t="s">
        <v>0</v>
      </c>
      <c r="D13" s="11" t="s">
        <v>6</v>
      </c>
      <c r="E13" s="5" t="s">
        <v>0</v>
      </c>
      <c r="F13" s="109">
        <v>1.1631</v>
      </c>
      <c r="G13" s="109">
        <v>1.0617000000000001</v>
      </c>
      <c r="H13" s="179">
        <v>1.0403</v>
      </c>
      <c r="I13" s="107"/>
      <c r="J13" s="109">
        <v>0.87470000000000003</v>
      </c>
      <c r="K13" s="109">
        <v>0.85680000000000001</v>
      </c>
      <c r="L13" s="179">
        <v>0.89649999999999996</v>
      </c>
      <c r="M13" s="74"/>
    </row>
    <row r="14" spans="1:16" ht="16.5" customHeight="1">
      <c r="B14" s="28"/>
      <c r="C14" s="29" t="s">
        <v>0</v>
      </c>
      <c r="D14" s="11" t="s">
        <v>7</v>
      </c>
      <c r="E14" s="5" t="s">
        <v>0</v>
      </c>
      <c r="F14" s="109">
        <v>1.1113999999999999</v>
      </c>
      <c r="G14" s="109">
        <v>1.0904</v>
      </c>
      <c r="H14" s="179">
        <v>1.135</v>
      </c>
      <c r="I14" s="107"/>
      <c r="J14" s="109">
        <v>1.097</v>
      </c>
      <c r="K14" s="109">
        <v>1.0427</v>
      </c>
      <c r="L14" s="179">
        <v>0.98250000000000004</v>
      </c>
      <c r="M14" s="74"/>
    </row>
    <row r="15" spans="1:16" ht="16.5" customHeight="1">
      <c r="B15" s="28"/>
      <c r="C15" s="29" t="s">
        <v>0</v>
      </c>
      <c r="D15" s="11" t="s">
        <v>215</v>
      </c>
      <c r="E15" s="5" t="s">
        <v>0</v>
      </c>
      <c r="F15" s="109">
        <v>1.1872</v>
      </c>
      <c r="G15" s="109">
        <v>1.1575</v>
      </c>
      <c r="H15" s="179">
        <v>1.1284000000000001</v>
      </c>
      <c r="I15" s="107"/>
      <c r="J15" s="109">
        <v>0.64939999999999998</v>
      </c>
      <c r="K15" s="109">
        <v>0.64039999999999997</v>
      </c>
      <c r="L15" s="179">
        <v>0.63280000000000003</v>
      </c>
      <c r="M15" s="74"/>
    </row>
    <row r="16" spans="1:16" ht="16.5" customHeight="1">
      <c r="B16" s="28"/>
      <c r="C16" s="275" t="s">
        <v>8</v>
      </c>
      <c r="D16" s="275"/>
      <c r="E16" s="4" t="s">
        <v>0</v>
      </c>
      <c r="F16" s="106">
        <v>0.97319999999999995</v>
      </c>
      <c r="G16" s="106">
        <v>0.94399999999999995</v>
      </c>
      <c r="H16" s="178">
        <v>0.97440000000000004</v>
      </c>
      <c r="I16" s="107"/>
      <c r="J16" s="106">
        <v>2.0209000000000001</v>
      </c>
      <c r="K16" s="106">
        <v>1.8152999999999999</v>
      </c>
      <c r="L16" s="178">
        <v>1.6731</v>
      </c>
      <c r="M16" s="74"/>
    </row>
    <row r="17" spans="2:13" ht="16.5" customHeight="1">
      <c r="B17" s="28"/>
      <c r="C17" s="29" t="s">
        <v>0</v>
      </c>
      <c r="D17" s="11" t="s">
        <v>9</v>
      </c>
      <c r="E17" s="5" t="s">
        <v>0</v>
      </c>
      <c r="F17" s="109">
        <v>0.62180000000000002</v>
      </c>
      <c r="G17" s="109">
        <v>0.6673</v>
      </c>
      <c r="H17" s="179">
        <v>0.74680000000000002</v>
      </c>
      <c r="I17" s="107"/>
      <c r="J17" s="109">
        <v>1.2083999999999999</v>
      </c>
      <c r="K17" s="109">
        <v>1.0827</v>
      </c>
      <c r="L17" s="179">
        <v>0.95630000000000004</v>
      </c>
      <c r="M17" s="74"/>
    </row>
    <row r="18" spans="2:13" ht="16.5" customHeight="1">
      <c r="B18" s="28"/>
      <c r="C18" s="29" t="s">
        <v>0</v>
      </c>
      <c r="D18" s="11" t="s">
        <v>10</v>
      </c>
      <c r="E18" s="5" t="s">
        <v>0</v>
      </c>
      <c r="F18" s="109">
        <v>1.0148999999999999</v>
      </c>
      <c r="G18" s="109">
        <v>1.0009999999999999</v>
      </c>
      <c r="H18" s="179">
        <v>1.0042</v>
      </c>
      <c r="I18" s="107"/>
      <c r="J18" s="109">
        <v>2.0105</v>
      </c>
      <c r="K18" s="109">
        <v>1.9019999999999999</v>
      </c>
      <c r="L18" s="179">
        <v>1.7961</v>
      </c>
      <c r="M18" s="74"/>
    </row>
    <row r="19" spans="2:13" ht="16.5" customHeight="1">
      <c r="B19" s="28"/>
      <c r="C19" s="29" t="s">
        <v>0</v>
      </c>
      <c r="D19" s="11" t="s">
        <v>11</v>
      </c>
      <c r="E19" s="5" t="s">
        <v>0</v>
      </c>
      <c r="F19" s="109">
        <v>1.0705</v>
      </c>
      <c r="G19" s="109">
        <v>1.1361000000000001</v>
      </c>
      <c r="H19" s="179">
        <v>1.1454</v>
      </c>
      <c r="I19" s="107"/>
      <c r="J19" s="109">
        <v>0.77480000000000004</v>
      </c>
      <c r="K19" s="109">
        <v>0.7913</v>
      </c>
      <c r="L19" s="179">
        <v>0.74839999999999995</v>
      </c>
      <c r="M19" s="74"/>
    </row>
    <row r="20" spans="2:13" ht="16.5" customHeight="1">
      <c r="B20" s="28"/>
      <c r="C20" s="29" t="s">
        <v>0</v>
      </c>
      <c r="D20" s="30" t="s">
        <v>12</v>
      </c>
      <c r="E20" s="5" t="s">
        <v>0</v>
      </c>
      <c r="F20" s="109">
        <v>0.95309999999999995</v>
      </c>
      <c r="G20" s="109">
        <v>0.98850000000000005</v>
      </c>
      <c r="H20" s="179">
        <v>0.99539999999999995</v>
      </c>
      <c r="I20" s="107"/>
      <c r="J20" s="109">
        <v>1.5523</v>
      </c>
      <c r="K20" s="109">
        <v>1.2789999999999999</v>
      </c>
      <c r="L20" s="179">
        <v>1.2538</v>
      </c>
      <c r="M20" s="74"/>
    </row>
    <row r="21" spans="2:13" ht="16.5" customHeight="1">
      <c r="B21" s="28"/>
      <c r="C21" s="29" t="s">
        <v>0</v>
      </c>
      <c r="D21" s="11" t="s">
        <v>24</v>
      </c>
      <c r="E21" s="5" t="s">
        <v>0</v>
      </c>
      <c r="F21" s="109">
        <v>1.1545000000000001</v>
      </c>
      <c r="G21" s="109">
        <v>1.1276999999999999</v>
      </c>
      <c r="H21" s="179">
        <v>1.1613</v>
      </c>
      <c r="I21" s="107"/>
      <c r="J21" s="109">
        <v>1.1046</v>
      </c>
      <c r="K21" s="109">
        <v>1.1334</v>
      </c>
      <c r="L21" s="179">
        <v>1.1318999999999999</v>
      </c>
      <c r="M21" s="74"/>
    </row>
    <row r="22" spans="2:13" ht="16.5" customHeight="1">
      <c r="B22" s="28"/>
      <c r="C22" s="275" t="s">
        <v>13</v>
      </c>
      <c r="D22" s="275"/>
      <c r="E22" s="4" t="s">
        <v>0</v>
      </c>
      <c r="F22" s="106">
        <v>1.1579999999999999</v>
      </c>
      <c r="G22" s="106">
        <v>1.0762</v>
      </c>
      <c r="H22" s="178">
        <v>1.0442</v>
      </c>
      <c r="I22" s="107"/>
      <c r="J22" s="106">
        <v>1.1933</v>
      </c>
      <c r="K22" s="106">
        <v>1.1355</v>
      </c>
      <c r="L22" s="178">
        <v>1.1781999999999999</v>
      </c>
      <c r="M22" s="74"/>
    </row>
    <row r="23" spans="2:13" ht="16.5" customHeight="1">
      <c r="B23" s="28"/>
      <c r="C23" s="29" t="s">
        <v>0</v>
      </c>
      <c r="D23" s="11" t="s">
        <v>64</v>
      </c>
      <c r="E23" s="5" t="s">
        <v>0</v>
      </c>
      <c r="F23" s="109">
        <v>0.98770000000000002</v>
      </c>
      <c r="G23" s="109">
        <v>0.92210000000000003</v>
      </c>
      <c r="H23" s="179">
        <v>0.89219999999999999</v>
      </c>
      <c r="I23" s="107"/>
      <c r="J23" s="109">
        <v>0.99029999999999996</v>
      </c>
      <c r="K23" s="109">
        <v>0.98860000000000003</v>
      </c>
      <c r="L23" s="179">
        <v>1.0948</v>
      </c>
      <c r="M23" s="74"/>
    </row>
    <row r="24" spans="2:13" ht="16.5" customHeight="1">
      <c r="B24" s="28"/>
      <c r="C24" s="29" t="s">
        <v>0</v>
      </c>
      <c r="D24" s="11" t="s">
        <v>25</v>
      </c>
      <c r="E24" s="5" t="s">
        <v>0</v>
      </c>
      <c r="F24" s="109">
        <v>1.1645000000000001</v>
      </c>
      <c r="G24" s="109">
        <v>1.0984</v>
      </c>
      <c r="H24" s="179">
        <v>1.0924</v>
      </c>
      <c r="I24" s="107"/>
      <c r="J24" s="109">
        <v>1.0137</v>
      </c>
      <c r="K24" s="109">
        <v>0.93069999999999997</v>
      </c>
      <c r="L24" s="179">
        <v>1.0014000000000001</v>
      </c>
      <c r="M24" s="74"/>
    </row>
    <row r="25" spans="2:13" ht="16.5" customHeight="1">
      <c r="B25" s="28"/>
      <c r="C25" s="29" t="s">
        <v>0</v>
      </c>
      <c r="D25" s="11" t="s">
        <v>26</v>
      </c>
      <c r="E25" s="5" t="s">
        <v>0</v>
      </c>
      <c r="F25" s="109">
        <v>1.2213000000000001</v>
      </c>
      <c r="G25" s="109">
        <v>1.1541999999999999</v>
      </c>
      <c r="H25" s="179">
        <v>1.1207</v>
      </c>
      <c r="I25" s="107"/>
      <c r="J25" s="109">
        <v>0.98699999999999999</v>
      </c>
      <c r="K25" s="109">
        <v>0.89129999999999998</v>
      </c>
      <c r="L25" s="179">
        <v>0.81010000000000004</v>
      </c>
      <c r="M25" s="74"/>
    </row>
    <row r="26" spans="2:13" ht="16.5" customHeight="1">
      <c r="B26" s="28"/>
      <c r="C26" s="29" t="s">
        <v>0</v>
      </c>
      <c r="D26" s="11" t="s">
        <v>27</v>
      </c>
      <c r="E26" s="5" t="s">
        <v>0</v>
      </c>
      <c r="F26" s="109">
        <v>1.2562</v>
      </c>
      <c r="G26" s="109">
        <v>1.3199000000000001</v>
      </c>
      <c r="H26" s="179">
        <v>1.2948999999999999</v>
      </c>
      <c r="I26" s="107"/>
      <c r="J26" s="109">
        <v>0.92100000000000004</v>
      </c>
      <c r="K26" s="109">
        <v>0.97019999999999995</v>
      </c>
      <c r="L26" s="179">
        <v>1.0580000000000001</v>
      </c>
      <c r="M26" s="74"/>
    </row>
    <row r="27" spans="2:13" ht="16.5" customHeight="1">
      <c r="B27" s="28"/>
      <c r="C27" s="275" t="s">
        <v>216</v>
      </c>
      <c r="D27" s="275"/>
      <c r="E27" s="5"/>
      <c r="F27" s="106">
        <v>1.0330999999999999</v>
      </c>
      <c r="G27" s="106">
        <v>1.0046999999999999</v>
      </c>
      <c r="H27" s="178">
        <v>0.95850000000000002</v>
      </c>
      <c r="I27" s="130"/>
      <c r="J27" s="106">
        <v>0.74590000000000001</v>
      </c>
      <c r="K27" s="106">
        <v>0.75900000000000001</v>
      </c>
      <c r="L27" s="178">
        <v>0.74739999999999995</v>
      </c>
      <c r="M27" s="74"/>
    </row>
    <row r="28" spans="2:13" ht="16.5" customHeight="1">
      <c r="B28" s="275" t="s">
        <v>14</v>
      </c>
      <c r="C28" s="275"/>
      <c r="D28" s="275"/>
      <c r="E28" s="4" t="s">
        <v>0</v>
      </c>
      <c r="F28" s="106">
        <v>0.88680000000000003</v>
      </c>
      <c r="G28" s="106">
        <v>0.77900000000000003</v>
      </c>
      <c r="H28" s="178">
        <v>0.81699999999999995</v>
      </c>
      <c r="I28" s="107"/>
      <c r="J28" s="106">
        <v>0.75690000000000002</v>
      </c>
      <c r="K28" s="106">
        <v>0.73960000000000004</v>
      </c>
      <c r="L28" s="178">
        <v>0.70389999999999997</v>
      </c>
      <c r="M28" s="74"/>
    </row>
    <row r="29" spans="2:13" ht="16.5" customHeight="1">
      <c r="B29" s="28"/>
      <c r="C29" s="29" t="s">
        <v>0</v>
      </c>
      <c r="D29" s="11" t="s">
        <v>42</v>
      </c>
      <c r="E29" s="5" t="s">
        <v>0</v>
      </c>
      <c r="F29" s="109">
        <v>0.82089999999999996</v>
      </c>
      <c r="G29" s="109">
        <v>0.76659999999999995</v>
      </c>
      <c r="H29" s="179">
        <v>0.79849999999999999</v>
      </c>
      <c r="I29" s="107"/>
      <c r="J29" s="109">
        <v>1.3039000000000001</v>
      </c>
      <c r="K29" s="109">
        <v>1.3239000000000001</v>
      </c>
      <c r="L29" s="179">
        <v>1.1859999999999999</v>
      </c>
      <c r="M29" s="74"/>
    </row>
    <row r="30" spans="2:13" ht="16.5" customHeight="1">
      <c r="B30" s="28"/>
      <c r="C30" s="29" t="s">
        <v>0</v>
      </c>
      <c r="D30" s="11" t="s">
        <v>43</v>
      </c>
      <c r="E30" s="5" t="s">
        <v>0</v>
      </c>
      <c r="F30" s="109">
        <v>1.0909</v>
      </c>
      <c r="G30" s="109">
        <v>0.96730000000000005</v>
      </c>
      <c r="H30" s="179">
        <v>1.0035000000000001</v>
      </c>
      <c r="I30" s="107"/>
      <c r="J30" s="109">
        <v>0.74590000000000001</v>
      </c>
      <c r="K30" s="109">
        <v>0.69540000000000002</v>
      </c>
      <c r="L30" s="179">
        <v>0.76259999999999994</v>
      </c>
      <c r="M30" s="74"/>
    </row>
    <row r="31" spans="2:13" ht="16.5" customHeight="1">
      <c r="B31" s="275" t="s">
        <v>15</v>
      </c>
      <c r="C31" s="275"/>
      <c r="D31" s="275"/>
      <c r="E31" s="5" t="s">
        <v>0</v>
      </c>
      <c r="F31" s="106">
        <v>1.1379999999999999</v>
      </c>
      <c r="G31" s="106">
        <v>1.0353000000000001</v>
      </c>
      <c r="H31" s="178">
        <v>0.99729999999999996</v>
      </c>
      <c r="I31" s="107"/>
      <c r="J31" s="106">
        <v>0.56869999999999998</v>
      </c>
      <c r="K31" s="106">
        <v>0.54069999999999996</v>
      </c>
      <c r="L31" s="178">
        <v>0.53800000000000003</v>
      </c>
      <c r="M31" s="74"/>
    </row>
    <row r="32" spans="2:13" ht="16.5" customHeight="1">
      <c r="B32" s="276" t="s">
        <v>44</v>
      </c>
      <c r="C32" s="276"/>
      <c r="D32" s="276"/>
      <c r="E32" s="4" t="s">
        <v>0</v>
      </c>
      <c r="F32" s="106">
        <v>0.90759999999999996</v>
      </c>
      <c r="G32" s="106">
        <v>0.86709999999999998</v>
      </c>
      <c r="H32" s="178">
        <v>0.84660000000000002</v>
      </c>
      <c r="I32" s="107"/>
      <c r="J32" s="106">
        <v>1.4731000000000001</v>
      </c>
      <c r="K32" s="106">
        <v>2.0148999999999999</v>
      </c>
      <c r="L32" s="178">
        <v>2.2113</v>
      </c>
      <c r="M32" s="74"/>
    </row>
    <row r="33" spans="2:13" ht="16.5" customHeight="1">
      <c r="B33" s="28"/>
      <c r="C33" s="275" t="s">
        <v>16</v>
      </c>
      <c r="D33" s="275"/>
      <c r="E33" s="4" t="s">
        <v>0</v>
      </c>
      <c r="F33" s="106">
        <v>0.97940000000000005</v>
      </c>
      <c r="G33" s="106">
        <v>0.92379999999999995</v>
      </c>
      <c r="H33" s="178">
        <v>0.9214</v>
      </c>
      <c r="I33" s="107"/>
      <c r="J33" s="106">
        <v>1.2791999999999999</v>
      </c>
      <c r="K33" s="106">
        <v>1.3176000000000001</v>
      </c>
      <c r="L33" s="178">
        <v>1.5689</v>
      </c>
      <c r="M33" s="74"/>
    </row>
    <row r="34" spans="2:13" ht="16.5" customHeight="1">
      <c r="B34" s="28"/>
      <c r="C34" s="29" t="s">
        <v>0</v>
      </c>
      <c r="D34" s="11" t="s">
        <v>28</v>
      </c>
      <c r="E34" s="5" t="s">
        <v>0</v>
      </c>
      <c r="F34" s="109">
        <v>0.92979999999999996</v>
      </c>
      <c r="G34" s="109">
        <v>0.93369999999999997</v>
      </c>
      <c r="H34" s="179">
        <v>0.92769999999999997</v>
      </c>
      <c r="I34" s="107"/>
      <c r="J34" s="109">
        <v>1.5786</v>
      </c>
      <c r="K34" s="109">
        <v>1.6794</v>
      </c>
      <c r="L34" s="179">
        <v>1.7599</v>
      </c>
      <c r="M34" s="74"/>
    </row>
    <row r="35" spans="2:13" ht="16.5" customHeight="1">
      <c r="B35" s="28"/>
      <c r="C35" s="29" t="s">
        <v>0</v>
      </c>
      <c r="D35" s="11" t="s">
        <v>17</v>
      </c>
      <c r="E35" s="5" t="s">
        <v>0</v>
      </c>
      <c r="F35" s="109">
        <v>0.91180000000000005</v>
      </c>
      <c r="G35" s="109">
        <v>0.91590000000000005</v>
      </c>
      <c r="H35" s="179">
        <v>0.94789999999999996</v>
      </c>
      <c r="I35" s="107"/>
      <c r="J35" s="109">
        <v>1.3406</v>
      </c>
      <c r="K35" s="109">
        <v>1.4168000000000001</v>
      </c>
      <c r="L35" s="179">
        <v>1.6558999999999999</v>
      </c>
      <c r="M35" s="74"/>
    </row>
    <row r="36" spans="2:13" ht="16.5" customHeight="1">
      <c r="B36" s="28"/>
      <c r="C36" s="275" t="s">
        <v>18</v>
      </c>
      <c r="D36" s="275"/>
      <c r="E36" s="4" t="s">
        <v>0</v>
      </c>
      <c r="F36" s="106">
        <v>0.91410000000000002</v>
      </c>
      <c r="G36" s="106">
        <v>0.85309999999999997</v>
      </c>
      <c r="H36" s="178">
        <v>0.83179999999999998</v>
      </c>
      <c r="I36" s="107"/>
      <c r="J36" s="106">
        <v>1.6887000000000001</v>
      </c>
      <c r="K36" s="106">
        <v>1.7310000000000001</v>
      </c>
      <c r="L36" s="178">
        <v>1.8386</v>
      </c>
      <c r="M36" s="74"/>
    </row>
    <row r="37" spans="2:13" ht="16.5" customHeight="1">
      <c r="B37" s="28"/>
      <c r="C37" s="29" t="s">
        <v>0</v>
      </c>
      <c r="D37" s="11" t="s">
        <v>29</v>
      </c>
      <c r="E37" s="5" t="s">
        <v>0</v>
      </c>
      <c r="F37" s="109">
        <v>0.93959999999999999</v>
      </c>
      <c r="G37" s="109">
        <v>0.91449999999999998</v>
      </c>
      <c r="H37" s="179">
        <v>0.87860000000000005</v>
      </c>
      <c r="I37" s="107"/>
      <c r="J37" s="109">
        <v>1.1406000000000001</v>
      </c>
      <c r="K37" s="109">
        <v>1.1462000000000001</v>
      </c>
      <c r="L37" s="179">
        <v>1.0891999999999999</v>
      </c>
      <c r="M37" s="74"/>
    </row>
    <row r="38" spans="2:13" ht="16.5" customHeight="1">
      <c r="B38" s="28"/>
      <c r="C38" s="29" t="s">
        <v>0</v>
      </c>
      <c r="D38" s="11" t="s">
        <v>30</v>
      </c>
      <c r="E38" s="5" t="s">
        <v>0</v>
      </c>
      <c r="F38" s="109">
        <v>0.90280000000000005</v>
      </c>
      <c r="G38" s="109">
        <v>0.89100000000000001</v>
      </c>
      <c r="H38" s="179">
        <v>0.84770000000000001</v>
      </c>
      <c r="I38" s="107"/>
      <c r="J38" s="109">
        <v>1.3509</v>
      </c>
      <c r="K38" s="109">
        <v>1.2382</v>
      </c>
      <c r="L38" s="179">
        <v>1.2853000000000001</v>
      </c>
      <c r="M38" s="74"/>
    </row>
    <row r="39" spans="2:13" ht="16.5" customHeight="1">
      <c r="B39" s="28"/>
      <c r="C39" s="29" t="s">
        <v>0</v>
      </c>
      <c r="D39" s="11" t="s">
        <v>31</v>
      </c>
      <c r="E39" s="5" t="s">
        <v>0</v>
      </c>
      <c r="F39" s="109">
        <v>0.73809999999999998</v>
      </c>
      <c r="G39" s="109">
        <v>0.75039999999999996</v>
      </c>
      <c r="H39" s="179">
        <v>0.753</v>
      </c>
      <c r="I39" s="107"/>
      <c r="J39" s="109">
        <v>0.89459999999999995</v>
      </c>
      <c r="K39" s="109">
        <v>0.94579999999999997</v>
      </c>
      <c r="L39" s="179">
        <v>0.92490000000000006</v>
      </c>
      <c r="M39" s="74"/>
    </row>
    <row r="40" spans="2:13" ht="16.5" customHeight="1">
      <c r="B40" s="28"/>
      <c r="C40" s="29" t="s">
        <v>0</v>
      </c>
      <c r="D40" s="11" t="s">
        <v>32</v>
      </c>
      <c r="E40" s="5" t="s">
        <v>0</v>
      </c>
      <c r="F40" s="109">
        <v>0.9728</v>
      </c>
      <c r="G40" s="109">
        <v>0.96360000000000001</v>
      </c>
      <c r="H40" s="179">
        <v>0.9284</v>
      </c>
      <c r="I40" s="107"/>
      <c r="J40" s="109">
        <v>1.3134999999999999</v>
      </c>
      <c r="K40" s="109">
        <v>1.3993</v>
      </c>
      <c r="L40" s="179">
        <v>1.5613999999999999</v>
      </c>
      <c r="M40" s="74"/>
    </row>
    <row r="41" spans="2:13" ht="16.5" customHeight="1">
      <c r="B41" s="28"/>
      <c r="C41" s="29" t="s">
        <v>0</v>
      </c>
      <c r="D41" s="11" t="s">
        <v>33</v>
      </c>
      <c r="E41" s="5" t="s">
        <v>0</v>
      </c>
      <c r="F41" s="109">
        <v>0.81679999999999997</v>
      </c>
      <c r="G41" s="109">
        <v>0.80049999999999999</v>
      </c>
      <c r="H41" s="179">
        <v>0.83520000000000005</v>
      </c>
      <c r="I41" s="107"/>
      <c r="J41" s="109">
        <v>1.0209999999999999</v>
      </c>
      <c r="K41" s="109">
        <v>1.0864</v>
      </c>
      <c r="L41" s="179">
        <v>1.2322</v>
      </c>
      <c r="M41" s="74"/>
    </row>
    <row r="42" spans="2:13" ht="16.5" customHeight="1">
      <c r="B42" s="28"/>
      <c r="C42" s="275" t="s">
        <v>19</v>
      </c>
      <c r="D42" s="275"/>
      <c r="E42" s="4" t="s">
        <v>0</v>
      </c>
      <c r="F42" s="106">
        <v>0.87490000000000001</v>
      </c>
      <c r="G42" s="106">
        <v>0.81710000000000005</v>
      </c>
      <c r="H42" s="178">
        <v>0.79579999999999995</v>
      </c>
      <c r="I42" s="107"/>
      <c r="J42" s="106">
        <v>0.59530000000000005</v>
      </c>
      <c r="K42" s="106">
        <v>0.88060000000000005</v>
      </c>
      <c r="L42" s="178">
        <v>0.85309999999999997</v>
      </c>
      <c r="M42" s="74"/>
    </row>
    <row r="43" spans="2:13" ht="16.5" customHeight="1">
      <c r="B43" s="28"/>
      <c r="C43" s="29" t="s">
        <v>0</v>
      </c>
      <c r="D43" s="11" t="s">
        <v>34</v>
      </c>
      <c r="E43" s="5" t="s">
        <v>0</v>
      </c>
      <c r="F43" s="109">
        <v>0.8075</v>
      </c>
      <c r="G43" s="109">
        <v>0.73760000000000003</v>
      </c>
      <c r="H43" s="179">
        <v>0.75090000000000001</v>
      </c>
      <c r="I43" s="107"/>
      <c r="J43" s="109">
        <v>0.55940000000000001</v>
      </c>
      <c r="K43" s="109">
        <v>0.87270000000000003</v>
      </c>
      <c r="L43" s="179">
        <v>0.85709999999999997</v>
      </c>
      <c r="M43" s="74"/>
    </row>
    <row r="44" spans="2:13" ht="16.5" customHeight="1">
      <c r="B44" s="28"/>
      <c r="C44" s="29" t="s">
        <v>0</v>
      </c>
      <c r="D44" s="11" t="s">
        <v>20</v>
      </c>
      <c r="E44" s="5" t="s">
        <v>0</v>
      </c>
      <c r="F44" s="109">
        <v>0.77610000000000001</v>
      </c>
      <c r="G44" s="109">
        <v>0.82389999999999997</v>
      </c>
      <c r="H44" s="179">
        <v>0.8044</v>
      </c>
      <c r="I44" s="107"/>
      <c r="J44" s="109">
        <v>0.56840000000000002</v>
      </c>
      <c r="K44" s="109">
        <v>0.56240000000000001</v>
      </c>
      <c r="L44" s="179">
        <v>0.54759999999999998</v>
      </c>
      <c r="M44" s="74"/>
    </row>
    <row r="45" spans="2:13" ht="16.5" customHeight="1">
      <c r="B45" s="28"/>
      <c r="C45" s="29" t="s">
        <v>0</v>
      </c>
      <c r="D45" s="11" t="s">
        <v>21</v>
      </c>
      <c r="E45" s="5" t="s">
        <v>0</v>
      </c>
      <c r="F45" s="109">
        <v>0.94520000000000004</v>
      </c>
      <c r="G45" s="109">
        <v>0.93530000000000002</v>
      </c>
      <c r="H45" s="179">
        <v>0.87450000000000006</v>
      </c>
      <c r="I45" s="107"/>
      <c r="J45" s="109">
        <v>0.57779999999999998</v>
      </c>
      <c r="K45" s="109">
        <v>0.60619999999999996</v>
      </c>
      <c r="L45" s="179">
        <v>0.57689999999999997</v>
      </c>
      <c r="M45" s="74"/>
    </row>
    <row r="46" spans="2:13" ht="16.5" customHeight="1">
      <c r="B46" s="28"/>
      <c r="C46" s="275" t="s">
        <v>22</v>
      </c>
      <c r="D46" s="275"/>
      <c r="E46" s="4" t="s">
        <v>0</v>
      </c>
      <c r="F46" s="106">
        <v>1.1128</v>
      </c>
      <c r="G46" s="106">
        <v>1.0790999999999999</v>
      </c>
      <c r="H46" s="178">
        <v>1.0871999999999999</v>
      </c>
      <c r="I46" s="107"/>
      <c r="J46" s="106">
        <v>0.76990000000000003</v>
      </c>
      <c r="K46" s="106">
        <v>0.81910000000000005</v>
      </c>
      <c r="L46" s="178">
        <v>0.75449999999999995</v>
      </c>
      <c r="M46" s="74"/>
    </row>
    <row r="47" spans="2:13" ht="16.5" customHeight="1">
      <c r="B47" s="28"/>
      <c r="C47" s="29" t="s">
        <v>0</v>
      </c>
      <c r="D47" s="11" t="s">
        <v>23</v>
      </c>
      <c r="E47" s="5" t="s">
        <v>0</v>
      </c>
      <c r="F47" s="109">
        <v>1.1335</v>
      </c>
      <c r="G47" s="109">
        <v>1.163</v>
      </c>
      <c r="H47" s="179">
        <v>1.1772</v>
      </c>
      <c r="I47" s="107"/>
      <c r="J47" s="109">
        <v>0.91339999999999999</v>
      </c>
      <c r="K47" s="109">
        <v>1.0448</v>
      </c>
      <c r="L47" s="179">
        <v>0.92900000000000005</v>
      </c>
      <c r="M47" s="74"/>
    </row>
    <row r="48" spans="2:13" ht="16.5" customHeight="1">
      <c r="B48" s="28"/>
      <c r="C48" s="29" t="s">
        <v>0</v>
      </c>
      <c r="D48" s="11" t="s">
        <v>35</v>
      </c>
      <c r="E48" s="5" t="s">
        <v>0</v>
      </c>
      <c r="F48" s="109">
        <v>0.94430000000000003</v>
      </c>
      <c r="G48" s="109">
        <v>0.95440000000000003</v>
      </c>
      <c r="H48" s="179">
        <v>0.95120000000000005</v>
      </c>
      <c r="I48" s="107"/>
      <c r="J48" s="110">
        <v>0.64600000000000002</v>
      </c>
      <c r="K48" s="110">
        <v>0.61819999999999997</v>
      </c>
      <c r="L48" s="180">
        <v>0.61270000000000002</v>
      </c>
      <c r="M48" s="74"/>
    </row>
    <row r="49" spans="2:13" ht="16.5" customHeight="1">
      <c r="B49" s="28"/>
      <c r="C49" s="29"/>
      <c r="D49" s="11" t="s">
        <v>36</v>
      </c>
      <c r="E49" s="5"/>
      <c r="F49" s="110">
        <v>1.0267999999999999</v>
      </c>
      <c r="G49" s="110">
        <v>1.0857000000000001</v>
      </c>
      <c r="H49" s="180">
        <v>1.0807</v>
      </c>
      <c r="I49" s="107"/>
      <c r="J49" s="110">
        <v>0.64649999999999996</v>
      </c>
      <c r="K49" s="110">
        <v>0.67100000000000004</v>
      </c>
      <c r="L49" s="180">
        <v>0.6714</v>
      </c>
      <c r="M49" s="74"/>
    </row>
    <row r="50" spans="2:13" ht="16.5" customHeight="1">
      <c r="B50" s="275" t="s">
        <v>115</v>
      </c>
      <c r="C50" s="275"/>
      <c r="D50" s="275"/>
      <c r="E50" s="4" t="s">
        <v>0</v>
      </c>
      <c r="F50" s="111">
        <v>0.5766</v>
      </c>
      <c r="G50" s="111">
        <v>1.4225000000000001</v>
      </c>
      <c r="H50" s="181">
        <v>1.3879999999999999</v>
      </c>
      <c r="I50" s="107"/>
      <c r="J50" s="111">
        <v>0.5766</v>
      </c>
      <c r="K50" s="111">
        <v>0.53859999999999997</v>
      </c>
      <c r="L50" s="181">
        <v>0.55430000000000001</v>
      </c>
      <c r="M50" s="74"/>
    </row>
    <row r="51" spans="2:13" ht="16.5" customHeight="1" thickBot="1">
      <c r="B51" s="302" t="s">
        <v>116</v>
      </c>
      <c r="C51" s="302"/>
      <c r="D51" s="302"/>
      <c r="E51" s="48" t="s">
        <v>0</v>
      </c>
      <c r="F51" s="112">
        <v>1</v>
      </c>
      <c r="G51" s="112">
        <v>1</v>
      </c>
      <c r="H51" s="182">
        <v>1</v>
      </c>
      <c r="I51" s="113"/>
      <c r="J51" s="112">
        <v>1</v>
      </c>
      <c r="K51" s="112">
        <v>1</v>
      </c>
      <c r="L51" s="182">
        <v>1</v>
      </c>
      <c r="M51" s="74"/>
    </row>
    <row r="52" spans="2:13" customFormat="1" ht="9" customHeight="1" thickTop="1">
      <c r="C52" s="7"/>
      <c r="D52" s="7"/>
      <c r="F52" s="23"/>
      <c r="G52" s="23"/>
      <c r="J52" s="23"/>
      <c r="K52" s="23"/>
    </row>
    <row r="53" spans="2:13" customFormat="1">
      <c r="C53" s="7"/>
      <c r="D53" s="12" t="s">
        <v>223</v>
      </c>
      <c r="F53" s="23"/>
      <c r="G53" s="23"/>
      <c r="J53" s="23"/>
      <c r="K53" s="23"/>
    </row>
    <row r="54" spans="2:13" customFormat="1">
      <c r="C54" s="7"/>
      <c r="D54" s="12" t="s">
        <v>219</v>
      </c>
      <c r="F54" s="23"/>
      <c r="G54" s="23"/>
      <c r="J54" s="23"/>
      <c r="K54" s="23"/>
    </row>
    <row r="55" spans="2:13" customFormat="1">
      <c r="C55" s="7"/>
      <c r="D55" s="12" t="s">
        <v>330</v>
      </c>
      <c r="F55" s="23"/>
      <c r="G55" s="23"/>
      <c r="J55" s="23"/>
      <c r="K55" s="23"/>
    </row>
    <row r="56" spans="2:13" customFormat="1">
      <c r="C56" s="7"/>
      <c r="D56" s="12" t="s">
        <v>329</v>
      </c>
      <c r="F56" s="23"/>
      <c r="G56" s="23"/>
      <c r="J56" s="23"/>
      <c r="K56" s="23"/>
    </row>
    <row r="57" spans="2:13" customFormat="1">
      <c r="C57" s="7"/>
      <c r="D57" s="12" t="s">
        <v>332</v>
      </c>
      <c r="F57" s="23"/>
      <c r="G57" s="23"/>
      <c r="J57" s="23"/>
      <c r="K57" s="23"/>
    </row>
    <row r="58" spans="2:13" customFormat="1">
      <c r="C58" s="7"/>
      <c r="D58" s="12" t="s">
        <v>331</v>
      </c>
      <c r="F58" s="23"/>
      <c r="G58" s="23"/>
      <c r="J58" s="23"/>
      <c r="K58" s="23"/>
    </row>
    <row r="59" spans="2:13" customFormat="1">
      <c r="C59" s="7"/>
      <c r="D59" s="12"/>
      <c r="F59" s="23"/>
      <c r="G59" s="23"/>
      <c r="J59" s="23"/>
      <c r="K59" s="23"/>
    </row>
    <row r="60" spans="2:13" customFormat="1">
      <c r="C60" s="7"/>
      <c r="D60" s="12"/>
      <c r="F60" s="23"/>
      <c r="G60" s="23"/>
      <c r="J60" s="23"/>
      <c r="K60" s="23"/>
    </row>
    <row r="61" spans="2:13" customFormat="1">
      <c r="C61" s="7"/>
      <c r="D61" s="12"/>
      <c r="F61" s="23"/>
      <c r="G61" s="23"/>
      <c r="J61" s="23"/>
      <c r="K61" s="23"/>
    </row>
  </sheetData>
  <mergeCells count="23">
    <mergeCell ref="B51:D51"/>
    <mergeCell ref="B50:D50"/>
    <mergeCell ref="B32:D32"/>
    <mergeCell ref="B8:D8"/>
    <mergeCell ref="B9:D9"/>
    <mergeCell ref="B10:D10"/>
    <mergeCell ref="C11:D11"/>
    <mergeCell ref="C16:D16"/>
    <mergeCell ref="C22:D22"/>
    <mergeCell ref="B28:D28"/>
    <mergeCell ref="B31:D31"/>
    <mergeCell ref="C33:D33"/>
    <mergeCell ref="C36:D36"/>
    <mergeCell ref="C42:D42"/>
    <mergeCell ref="C46:D46"/>
    <mergeCell ref="C27:D27"/>
    <mergeCell ref="B3:L3"/>
    <mergeCell ref="B4:L4"/>
    <mergeCell ref="B7:D7"/>
    <mergeCell ref="B6:D6"/>
    <mergeCell ref="B5:L5"/>
    <mergeCell ref="F6:H6"/>
    <mergeCell ref="J6:L6"/>
  </mergeCells>
  <phoneticPr fontId="1" type="noConversion"/>
  <hyperlinks>
    <hyperlink ref="A1" location="목차!A1" display="(목차로 이동)" xr:uid="{00000000-0004-0000-0E00-000000000000}"/>
  </hyperlinks>
  <pageMargins left="0.7" right="0.7" top="0.75" bottom="0.75" header="0.3" footer="0.3"/>
  <pageSetup paperSize="9" scale="78" orientation="portrait" r:id="rId1"/>
  <rowBreaks count="1" manualBreakCount="1">
    <brk id="56" min="1" max="13" man="1"/>
  </rowBreaks>
  <colBreaks count="1" manualBreakCount="1">
    <brk id="11" min="1" max="57" man="1"/>
  </col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5" tint="0.79998168889431442"/>
    <pageSetUpPr fitToPage="1"/>
  </sheetPr>
  <dimension ref="A1:P21"/>
  <sheetViews>
    <sheetView view="pageBreakPreview" zoomScaleNormal="100" zoomScaleSheetLayoutView="100" workbookViewId="0">
      <selection activeCell="D18" sqref="D18"/>
    </sheetView>
  </sheetViews>
  <sheetFormatPr defaultRowHeight="16.5"/>
  <cols>
    <col min="1" max="1" width="2.625" customWidth="1"/>
    <col min="2" max="2" width="2.125" customWidth="1"/>
    <col min="3" max="3" width="2.125" style="7" customWidth="1"/>
    <col min="4" max="4" width="26.625" customWidth="1"/>
    <col min="5" max="5" width="1.625" customWidth="1"/>
    <col min="6" max="7" width="9.625" style="23" bestFit="1" customWidth="1"/>
    <col min="8" max="8" width="9.625" bestFit="1" customWidth="1"/>
    <col min="9" max="9" width="1.625" customWidth="1"/>
    <col min="10" max="11" width="9" style="23"/>
    <col min="13" max="13" width="1.625" customWidth="1"/>
    <col min="14" max="15" width="9" style="23"/>
  </cols>
  <sheetData>
    <row r="1" spans="1:16" s="14" customFormat="1" ht="16.5" customHeight="1">
      <c r="A1" s="32" t="s">
        <v>93</v>
      </c>
      <c r="B1"/>
      <c r="C1" s="7"/>
      <c r="D1" s="7"/>
      <c r="E1"/>
      <c r="I1"/>
      <c r="M1"/>
    </row>
    <row r="2" spans="1:16" s="14" customFormat="1" ht="6" customHeight="1">
      <c r="A2" s="32"/>
      <c r="B2"/>
      <c r="C2" s="7"/>
      <c r="D2" s="7"/>
      <c r="E2"/>
      <c r="I2"/>
      <c r="M2"/>
    </row>
    <row r="3" spans="1:16" s="14" customFormat="1" ht="18.75" customHeight="1">
      <c r="B3" s="278" t="s">
        <v>94</v>
      </c>
      <c r="C3" s="278"/>
      <c r="D3" s="278"/>
      <c r="E3" s="278"/>
      <c r="F3" s="278"/>
      <c r="G3" s="278"/>
      <c r="H3" s="278"/>
      <c r="I3" s="278"/>
      <c r="J3" s="278"/>
      <c r="K3" s="278"/>
      <c r="L3" s="278"/>
      <c r="M3" s="278"/>
      <c r="N3" s="278"/>
      <c r="O3" s="278"/>
      <c r="P3" s="278"/>
    </row>
    <row r="4" spans="1:16" s="14" customFormat="1" ht="18.75" customHeight="1">
      <c r="A4"/>
      <c r="B4" s="304"/>
      <c r="C4" s="304"/>
      <c r="D4" s="304"/>
      <c r="E4" s="304"/>
      <c r="F4" s="304"/>
      <c r="G4" s="304"/>
      <c r="H4" s="304"/>
      <c r="I4" s="304"/>
      <c r="J4" s="304"/>
      <c r="K4" s="304"/>
      <c r="L4" s="304"/>
      <c r="M4" s="72"/>
      <c r="N4" s="268"/>
    </row>
    <row r="5" spans="1:16" ht="8.25" customHeight="1" thickBot="1">
      <c r="C5"/>
    </row>
    <row r="6" spans="1:16" s="14" customFormat="1" ht="18" customHeight="1" thickTop="1">
      <c r="A6"/>
      <c r="B6" s="306" t="s">
        <v>0</v>
      </c>
      <c r="C6" s="306"/>
      <c r="D6" s="306"/>
      <c r="E6" s="131"/>
      <c r="F6" s="307" t="s">
        <v>262</v>
      </c>
      <c r="G6" s="307"/>
      <c r="H6" s="307"/>
      <c r="I6" s="170"/>
      <c r="J6" s="307" t="s">
        <v>263</v>
      </c>
      <c r="K6" s="307"/>
      <c r="L6" s="307"/>
      <c r="M6" s="170"/>
      <c r="N6" s="307" t="s">
        <v>264</v>
      </c>
      <c r="O6" s="307"/>
      <c r="P6" s="307"/>
    </row>
    <row r="7" spans="1:16" s="14" customFormat="1" ht="18" customHeight="1" thickBot="1">
      <c r="A7"/>
      <c r="B7" s="305" t="s">
        <v>0</v>
      </c>
      <c r="C7" s="305"/>
      <c r="D7" s="305"/>
      <c r="E7" s="26" t="s">
        <v>0</v>
      </c>
      <c r="F7" s="155" t="s">
        <v>293</v>
      </c>
      <c r="G7" s="155" t="s">
        <v>294</v>
      </c>
      <c r="H7" s="156" t="s">
        <v>287</v>
      </c>
      <c r="I7" s="189" t="s">
        <v>0</v>
      </c>
      <c r="J7" s="155" t="s">
        <v>293</v>
      </c>
      <c r="K7" s="155" t="s">
        <v>294</v>
      </c>
      <c r="L7" s="156" t="s">
        <v>287</v>
      </c>
      <c r="M7" s="189" t="s">
        <v>0</v>
      </c>
      <c r="N7" s="155" t="s">
        <v>293</v>
      </c>
      <c r="O7" s="155" t="s">
        <v>294</v>
      </c>
      <c r="P7" s="156" t="s">
        <v>287</v>
      </c>
    </row>
    <row r="8" spans="1:16" s="14" customFormat="1" ht="16.5" customHeight="1" thickTop="1">
      <c r="A8"/>
      <c r="B8" s="96"/>
      <c r="C8" s="281" t="s">
        <v>82</v>
      </c>
      <c r="D8" s="281"/>
      <c r="E8" s="4" t="s">
        <v>0</v>
      </c>
      <c r="F8" s="55">
        <v>1318.151726011544</v>
      </c>
      <c r="G8" s="55">
        <v>1636.94958579946</v>
      </c>
      <c r="H8" s="159">
        <v>2108.9061579270301</v>
      </c>
      <c r="I8" s="114"/>
      <c r="J8" s="115">
        <v>1.6610292682849459</v>
      </c>
      <c r="K8" s="115">
        <v>1.6868812992472799</v>
      </c>
      <c r="L8" s="185">
        <v>1.701680708330761</v>
      </c>
      <c r="M8" s="114"/>
      <c r="N8" s="116">
        <v>40.963942766585568</v>
      </c>
      <c r="O8" s="116">
        <v>42.700484605154898</v>
      </c>
      <c r="P8" s="187">
        <v>46.275862855362448</v>
      </c>
    </row>
    <row r="9" spans="1:16" s="14" customFormat="1" ht="16.5" customHeight="1">
      <c r="A9"/>
      <c r="B9" s="28"/>
      <c r="C9" s="290" t="s">
        <v>85</v>
      </c>
      <c r="D9" s="290"/>
      <c r="E9" s="4" t="s">
        <v>0</v>
      </c>
      <c r="F9" s="55">
        <v>717.33444477966316</v>
      </c>
      <c r="G9" s="55">
        <v>832.73277362443196</v>
      </c>
      <c r="H9" s="159">
        <v>1087.6904468910961</v>
      </c>
      <c r="I9" s="114"/>
      <c r="J9" s="109">
        <v>1.9708386084877221</v>
      </c>
      <c r="K9" s="109">
        <v>1.9389872296030299</v>
      </c>
      <c r="L9" s="179">
        <v>1.907451484055001</v>
      </c>
      <c r="M9" s="114"/>
      <c r="N9" s="117">
        <v>22.292461907527951</v>
      </c>
      <c r="O9" s="117">
        <v>21.722167431926199</v>
      </c>
      <c r="P9" s="168">
        <v>23.867261120284461</v>
      </c>
    </row>
    <row r="10" spans="1:16" s="14" customFormat="1" ht="16.5" customHeight="1">
      <c r="A10"/>
      <c r="B10" s="28"/>
      <c r="C10" s="290" t="s">
        <v>95</v>
      </c>
      <c r="D10" s="290"/>
      <c r="E10" s="4" t="s">
        <v>0</v>
      </c>
      <c r="F10" s="135">
        <v>1182.347946208793</v>
      </c>
      <c r="G10" s="135">
        <v>1363.87972057611</v>
      </c>
      <c r="H10" s="184">
        <v>1360.652094181874</v>
      </c>
      <c r="I10" s="114"/>
      <c r="J10" s="118">
        <v>1.87773501164812</v>
      </c>
      <c r="K10" s="118">
        <v>1.9079903255074</v>
      </c>
      <c r="L10" s="186">
        <v>1.899462933921265</v>
      </c>
      <c r="M10" s="114"/>
      <c r="N10" s="119">
        <v>36.743595325886503</v>
      </c>
      <c r="O10" s="119">
        <v>35.5773479629189</v>
      </c>
      <c r="P10" s="188">
        <v>29.856876024353081</v>
      </c>
    </row>
    <row r="11" spans="1:16" s="14" customFormat="1" ht="16.5" customHeight="1" thickBot="1">
      <c r="A11"/>
      <c r="B11" s="308" t="s">
        <v>96</v>
      </c>
      <c r="C11" s="308"/>
      <c r="D11" s="308"/>
      <c r="E11" s="48" t="s">
        <v>0</v>
      </c>
      <c r="F11" s="61">
        <v>3217.8341169999999</v>
      </c>
      <c r="G11" s="61">
        <v>3833.5620800000002</v>
      </c>
      <c r="H11" s="162">
        <v>4557.2486989999998</v>
      </c>
      <c r="I11" s="120"/>
      <c r="J11" s="112">
        <v>1.8004724072730609</v>
      </c>
      <c r="K11" s="112">
        <v>1.81282189938889</v>
      </c>
      <c r="L11" s="182">
        <v>1.8042255610125131</v>
      </c>
      <c r="M11" s="120"/>
      <c r="N11" s="121">
        <v>100</v>
      </c>
      <c r="O11" s="121">
        <v>100</v>
      </c>
      <c r="P11" s="172">
        <v>100</v>
      </c>
    </row>
    <row r="12" spans="1:16" ht="9" customHeight="1" thickTop="1"/>
    <row r="13" spans="1:16" ht="16.5" customHeight="1">
      <c r="D13" s="12" t="s">
        <v>225</v>
      </c>
    </row>
    <row r="14" spans="1:16" ht="16.5" customHeight="1">
      <c r="D14" s="12" t="s">
        <v>224</v>
      </c>
    </row>
    <row r="15" spans="1:16" ht="16.5" customHeight="1">
      <c r="D15" s="100" t="s">
        <v>226</v>
      </c>
    </row>
    <row r="16" spans="1:16" ht="16.5" customHeight="1">
      <c r="D16" s="100"/>
    </row>
    <row r="18" spans="4:4">
      <c r="D18" s="32" t="s">
        <v>101</v>
      </c>
    </row>
    <row r="21" spans="4:4" ht="18" customHeight="1"/>
  </sheetData>
  <mergeCells count="11">
    <mergeCell ref="B3:P3"/>
    <mergeCell ref="B4:L4"/>
    <mergeCell ref="B6:D6"/>
    <mergeCell ref="F6:H6"/>
    <mergeCell ref="J6:L6"/>
    <mergeCell ref="N6:P6"/>
    <mergeCell ref="B7:D7"/>
    <mergeCell ref="C8:D8"/>
    <mergeCell ref="C9:D9"/>
    <mergeCell ref="C10:D10"/>
    <mergeCell ref="B11:D11"/>
  </mergeCells>
  <phoneticPr fontId="1" type="noConversion"/>
  <hyperlinks>
    <hyperlink ref="A1" location="목차!A1" display="(목차로 이동)" xr:uid="{00000000-0004-0000-0F00-000000000000}"/>
    <hyperlink ref="D18" location="'15(상세)최종수요항목별 생산유발계수 및 생산유발구성비'!A1" display="(최종수요 상세항목을 보려면 클릭)" xr:uid="{00000000-0004-0000-0F00-000001000000}"/>
  </hyperlinks>
  <pageMargins left="0.7" right="0.7" top="0.75" bottom="0.75" header="0.3" footer="0.3"/>
  <pageSetup paperSize="9" scale="67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5" tint="0.79998168889431442"/>
    <pageSetUpPr fitToPage="1"/>
  </sheetPr>
  <dimension ref="A1:R21"/>
  <sheetViews>
    <sheetView view="pageBreakPreview" zoomScaleNormal="100" zoomScaleSheetLayoutView="100" workbookViewId="0"/>
  </sheetViews>
  <sheetFormatPr defaultRowHeight="16.5"/>
  <cols>
    <col min="1" max="1" width="2.625" customWidth="1"/>
    <col min="2" max="2" width="2.125" customWidth="1"/>
    <col min="3" max="3" width="2.125" style="7" customWidth="1"/>
    <col min="4" max="4" width="26.625" customWidth="1"/>
    <col min="5" max="5" width="1.625" customWidth="1"/>
    <col min="6" max="7" width="9.625" style="23" bestFit="1" customWidth="1"/>
    <col min="8" max="8" width="9.625" bestFit="1" customWidth="1"/>
    <col min="9" max="9" width="1.625" customWidth="1"/>
    <col min="10" max="11" width="9" style="23"/>
    <col min="13" max="13" width="1.625" customWidth="1"/>
    <col min="14" max="15" width="9" style="23"/>
    <col min="17" max="17" width="17.25" bestFit="1" customWidth="1"/>
  </cols>
  <sheetData>
    <row r="1" spans="1:18" s="14" customFormat="1" ht="16.5" customHeight="1">
      <c r="A1" s="32" t="s">
        <v>46</v>
      </c>
      <c r="B1"/>
      <c r="C1" s="7"/>
      <c r="D1" s="7"/>
      <c r="E1"/>
      <c r="I1"/>
      <c r="M1"/>
    </row>
    <row r="2" spans="1:18" s="14" customFormat="1" ht="6" customHeight="1">
      <c r="A2" s="32"/>
      <c r="B2"/>
      <c r="C2" s="7"/>
      <c r="D2" s="7"/>
      <c r="E2"/>
      <c r="I2"/>
      <c r="M2"/>
    </row>
    <row r="3" spans="1:18" s="14" customFormat="1" ht="18.75" customHeight="1">
      <c r="B3" s="278" t="s">
        <v>81</v>
      </c>
      <c r="C3" s="278"/>
      <c r="D3" s="278"/>
      <c r="E3" s="278"/>
      <c r="F3" s="278"/>
      <c r="G3" s="278"/>
      <c r="H3" s="278"/>
      <c r="I3" s="278"/>
      <c r="J3" s="278"/>
      <c r="K3" s="278"/>
      <c r="L3" s="278"/>
      <c r="M3" s="278"/>
      <c r="N3" s="278"/>
      <c r="O3" s="278"/>
      <c r="P3" s="278"/>
    </row>
    <row r="4" spans="1:18" s="14" customFormat="1" ht="18.75" customHeight="1">
      <c r="A4"/>
      <c r="B4" s="304"/>
      <c r="C4" s="304"/>
      <c r="D4" s="304"/>
      <c r="E4" s="304"/>
      <c r="F4" s="304"/>
      <c r="G4" s="304"/>
      <c r="H4" s="304"/>
      <c r="I4" s="304"/>
      <c r="J4" s="304"/>
      <c r="K4" s="304"/>
      <c r="L4" s="304"/>
      <c r="M4" s="72"/>
      <c r="N4" s="268"/>
    </row>
    <row r="5" spans="1:18" ht="8.25" customHeight="1" thickBot="1">
      <c r="C5"/>
    </row>
    <row r="6" spans="1:18" s="14" customFormat="1" ht="18" customHeight="1" thickTop="1">
      <c r="A6"/>
      <c r="B6" s="306" t="s">
        <v>0</v>
      </c>
      <c r="C6" s="306"/>
      <c r="D6" s="306"/>
      <c r="E6" s="131"/>
      <c r="F6" s="307" t="s">
        <v>262</v>
      </c>
      <c r="G6" s="307"/>
      <c r="H6" s="307"/>
      <c r="I6" s="170"/>
      <c r="J6" s="307" t="s">
        <v>263</v>
      </c>
      <c r="K6" s="307"/>
      <c r="L6" s="307"/>
      <c r="M6" s="170"/>
      <c r="N6" s="307" t="s">
        <v>264</v>
      </c>
      <c r="O6" s="307"/>
      <c r="P6" s="307"/>
    </row>
    <row r="7" spans="1:18" s="14" customFormat="1" ht="18" customHeight="1" thickBot="1">
      <c r="A7"/>
      <c r="B7" s="305" t="s">
        <v>0</v>
      </c>
      <c r="C7" s="305"/>
      <c r="D7" s="305"/>
      <c r="E7" s="26" t="s">
        <v>0</v>
      </c>
      <c r="F7" s="155" t="s">
        <v>293</v>
      </c>
      <c r="G7" s="155" t="s">
        <v>294</v>
      </c>
      <c r="H7" s="156" t="s">
        <v>287</v>
      </c>
      <c r="I7" s="189" t="s">
        <v>0</v>
      </c>
      <c r="J7" s="155" t="s">
        <v>293</v>
      </c>
      <c r="K7" s="155" t="s">
        <v>294</v>
      </c>
      <c r="L7" s="156" t="s">
        <v>287</v>
      </c>
      <c r="M7" s="189" t="s">
        <v>0</v>
      </c>
      <c r="N7" s="155" t="s">
        <v>293</v>
      </c>
      <c r="O7" s="155" t="s">
        <v>294</v>
      </c>
      <c r="P7" s="156" t="s">
        <v>287</v>
      </c>
    </row>
    <row r="8" spans="1:18" s="14" customFormat="1" ht="24" customHeight="1" thickTop="1">
      <c r="A8"/>
      <c r="B8" s="96"/>
      <c r="C8" s="281" t="s">
        <v>82</v>
      </c>
      <c r="D8" s="281"/>
      <c r="E8" s="4" t="s">
        <v>0</v>
      </c>
      <c r="F8" s="52">
        <v>1318.151726011544</v>
      </c>
      <c r="G8" s="52">
        <v>1636.94958579946</v>
      </c>
      <c r="H8" s="158">
        <v>2108.9061579270301</v>
      </c>
      <c r="I8" s="122"/>
      <c r="J8" s="108">
        <v>1.6610292682849459</v>
      </c>
      <c r="K8" s="108">
        <v>1.6868812992472799</v>
      </c>
      <c r="L8" s="183">
        <v>1.701680708330761</v>
      </c>
      <c r="M8" s="122"/>
      <c r="N8" s="123">
        <v>40.963942766585568</v>
      </c>
      <c r="O8" s="123">
        <v>42.700484605154898</v>
      </c>
      <c r="P8" s="190">
        <v>46.275862855362448</v>
      </c>
      <c r="Q8" s="199"/>
      <c r="R8" s="200"/>
    </row>
    <row r="9" spans="1:18" s="14" customFormat="1" ht="24" customHeight="1">
      <c r="A9"/>
      <c r="B9" s="28"/>
      <c r="C9" s="97"/>
      <c r="D9" s="98" t="s">
        <v>83</v>
      </c>
      <c r="E9" s="4" t="s">
        <v>0</v>
      </c>
      <c r="F9" s="55">
        <v>1030.969449869825</v>
      </c>
      <c r="G9" s="55">
        <v>1260.96348270813</v>
      </c>
      <c r="H9" s="159">
        <v>1579.827013753448</v>
      </c>
      <c r="I9" s="114"/>
      <c r="J9" s="109">
        <v>1.7021107908355271</v>
      </c>
      <c r="K9" s="109">
        <v>1.7505795470558101</v>
      </c>
      <c r="L9" s="179">
        <v>1.7756419571016331</v>
      </c>
      <c r="M9" s="114"/>
      <c r="N9" s="117">
        <v>32.039235472803107</v>
      </c>
      <c r="O9" s="117">
        <v>32.892736739198298</v>
      </c>
      <c r="P9" s="168">
        <v>34.666245318148</v>
      </c>
      <c r="Q9" s="199"/>
      <c r="R9" s="200"/>
    </row>
    <row r="10" spans="1:18" s="14" customFormat="1" ht="24" customHeight="1">
      <c r="A10"/>
      <c r="B10" s="28"/>
      <c r="C10" s="97"/>
      <c r="D10" s="99" t="s">
        <v>84</v>
      </c>
      <c r="E10" s="4" t="s">
        <v>0</v>
      </c>
      <c r="F10" s="55">
        <v>287.18227614171951</v>
      </c>
      <c r="G10" s="55">
        <v>375.98610309132198</v>
      </c>
      <c r="H10" s="159">
        <v>529.07914417358188</v>
      </c>
      <c r="I10" s="114"/>
      <c r="J10" s="109">
        <v>1.5285840755202029</v>
      </c>
      <c r="K10" s="109">
        <v>1.50341540258075</v>
      </c>
      <c r="L10" s="179">
        <v>1.5134440901519779</v>
      </c>
      <c r="M10" s="114"/>
      <c r="N10" s="117">
        <v>8.924707293782463</v>
      </c>
      <c r="O10" s="117">
        <v>9.8077478659566193</v>
      </c>
      <c r="P10" s="168">
        <v>11.60961753721446</v>
      </c>
      <c r="Q10" s="199"/>
      <c r="R10" s="200"/>
    </row>
    <row r="11" spans="1:18" s="14" customFormat="1" ht="24" customHeight="1">
      <c r="A11"/>
      <c r="B11" s="28"/>
      <c r="C11" s="290" t="s">
        <v>85</v>
      </c>
      <c r="D11" s="290"/>
      <c r="E11" s="4" t="s">
        <v>0</v>
      </c>
      <c r="F11" s="52">
        <v>717.33444477966316</v>
      </c>
      <c r="G11" s="52">
        <v>832.73277362443196</v>
      </c>
      <c r="H11" s="158">
        <v>1087.6904468910961</v>
      </c>
      <c r="I11" s="122"/>
      <c r="J11" s="106">
        <v>1.9708386084877221</v>
      </c>
      <c r="K11" s="106">
        <v>1.9389872296030299</v>
      </c>
      <c r="L11" s="178">
        <v>1.907451484055001</v>
      </c>
      <c r="M11" s="122"/>
      <c r="N11" s="125">
        <v>22.292461907527951</v>
      </c>
      <c r="O11" s="125">
        <v>21.722167431926199</v>
      </c>
      <c r="P11" s="171">
        <v>23.867261120284461</v>
      </c>
      <c r="Q11" s="199"/>
      <c r="R11" s="200"/>
    </row>
    <row r="12" spans="1:18" s="14" customFormat="1" ht="24" customHeight="1">
      <c r="A12"/>
      <c r="B12" s="28"/>
      <c r="C12" s="97"/>
      <c r="D12" s="99" t="s">
        <v>86</v>
      </c>
      <c r="E12" s="5" t="s">
        <v>0</v>
      </c>
      <c r="F12" s="55">
        <v>534.04056608252802</v>
      </c>
      <c r="G12" s="55">
        <v>679.45664646363502</v>
      </c>
      <c r="H12" s="159">
        <v>879.81558846051109</v>
      </c>
      <c r="I12" s="114"/>
      <c r="J12" s="109">
        <v>1.965649304167131</v>
      </c>
      <c r="K12" s="109">
        <v>1.92344302967975</v>
      </c>
      <c r="L12" s="179">
        <v>1.890016107860254</v>
      </c>
      <c r="M12" s="114"/>
      <c r="N12" s="117">
        <v>16.596273973887019</v>
      </c>
      <c r="O12" s="117">
        <v>17.7238983557463</v>
      </c>
      <c r="P12" s="168">
        <v>19.30584979164226</v>
      </c>
      <c r="Q12" s="199"/>
      <c r="R12" s="200"/>
    </row>
    <row r="13" spans="1:18" s="14" customFormat="1" ht="24" customHeight="1">
      <c r="A13"/>
      <c r="B13" s="28"/>
      <c r="C13" s="97"/>
      <c r="D13" s="99" t="s">
        <v>87</v>
      </c>
      <c r="E13" s="5" t="s">
        <v>0</v>
      </c>
      <c r="F13" s="55">
        <v>133.6448353737419</v>
      </c>
      <c r="G13" s="55">
        <v>137.86329032320501</v>
      </c>
      <c r="H13" s="159">
        <v>191.20560734823999</v>
      </c>
      <c r="I13" s="114"/>
      <c r="J13" s="109">
        <v>2.0316216988227351</v>
      </c>
      <c r="K13" s="109">
        <v>2.0080930119492799</v>
      </c>
      <c r="L13" s="179">
        <v>1.9987463184161021</v>
      </c>
      <c r="M13" s="114"/>
      <c r="N13" s="117">
        <v>4.1532543479382191</v>
      </c>
      <c r="O13" s="117">
        <v>3.59621906326882</v>
      </c>
      <c r="P13" s="168">
        <v>4.1956368848203596</v>
      </c>
      <c r="Q13" s="199"/>
      <c r="R13" s="200"/>
    </row>
    <row r="14" spans="1:18" s="14" customFormat="1" ht="24" customHeight="1">
      <c r="A14"/>
      <c r="B14" s="28"/>
      <c r="C14" s="97"/>
      <c r="D14" s="99" t="s">
        <v>88</v>
      </c>
      <c r="E14" s="5" t="s">
        <v>0</v>
      </c>
      <c r="F14" s="55">
        <v>48.137119945823002</v>
      </c>
      <c r="G14" s="55">
        <v>15.4128368375917</v>
      </c>
      <c r="H14" s="159">
        <v>12.98778831153194</v>
      </c>
      <c r="I14" s="114"/>
      <c r="J14" s="109">
        <v>1.8674764509508299</v>
      </c>
      <c r="K14" s="109">
        <v>2.0376954294074801</v>
      </c>
      <c r="L14" s="179">
        <v>1.8229802720411421</v>
      </c>
      <c r="M14" s="114"/>
      <c r="N14" s="117">
        <v>1.495947839309425</v>
      </c>
      <c r="O14" s="117">
        <v>0.402050012911014</v>
      </c>
      <c r="P14" s="168">
        <v>0.28499187052007641</v>
      </c>
      <c r="Q14" s="199"/>
      <c r="R14" s="200"/>
    </row>
    <row r="15" spans="1:18" s="14" customFormat="1" ht="24" customHeight="1">
      <c r="A15"/>
      <c r="B15" s="28"/>
      <c r="C15" s="290" t="s">
        <v>89</v>
      </c>
      <c r="D15" s="290"/>
      <c r="E15" s="4" t="s">
        <v>0</v>
      </c>
      <c r="F15" s="66">
        <v>1182.347946208793</v>
      </c>
      <c r="G15" s="66">
        <v>1363.87972057611</v>
      </c>
      <c r="H15" s="161">
        <v>1360.652094181874</v>
      </c>
      <c r="I15" s="122"/>
      <c r="J15" s="111">
        <v>1.87773501164812</v>
      </c>
      <c r="K15" s="111">
        <v>1.9079903255074</v>
      </c>
      <c r="L15" s="181">
        <v>1.899462933921265</v>
      </c>
      <c r="M15" s="122"/>
      <c r="N15" s="81">
        <v>36.743595325886503</v>
      </c>
      <c r="O15" s="81">
        <v>35.5773479629189</v>
      </c>
      <c r="P15" s="169">
        <v>29.856876024353081</v>
      </c>
      <c r="Q15" s="199"/>
      <c r="R15" s="200"/>
    </row>
    <row r="16" spans="1:18" s="14" customFormat="1" ht="24" customHeight="1" thickBot="1">
      <c r="A16"/>
      <c r="B16" s="308" t="s">
        <v>90</v>
      </c>
      <c r="C16" s="308"/>
      <c r="D16" s="308"/>
      <c r="E16" s="48" t="s">
        <v>0</v>
      </c>
      <c r="F16" s="61">
        <v>3217.8341169999999</v>
      </c>
      <c r="G16" s="61">
        <v>3833.5620800000002</v>
      </c>
      <c r="H16" s="162">
        <v>4557.2486989999998</v>
      </c>
      <c r="I16" s="120"/>
      <c r="J16" s="112">
        <v>1.8004724072730609</v>
      </c>
      <c r="K16" s="112">
        <v>1.81282189938889</v>
      </c>
      <c r="L16" s="182">
        <v>1.8042255610125131</v>
      </c>
      <c r="M16" s="120"/>
      <c r="N16" s="121">
        <v>100</v>
      </c>
      <c r="O16" s="121">
        <v>100</v>
      </c>
      <c r="P16" s="172">
        <v>100</v>
      </c>
      <c r="Q16" s="199"/>
    </row>
    <row r="17" spans="4:4" ht="9" customHeight="1" thickTop="1"/>
    <row r="18" spans="4:4" ht="16.5" customHeight="1">
      <c r="D18" s="12" t="s">
        <v>225</v>
      </c>
    </row>
    <row r="19" spans="4:4" ht="16.5" customHeight="1">
      <c r="D19" s="12" t="s">
        <v>284</v>
      </c>
    </row>
    <row r="20" spans="4:4" ht="16.5" customHeight="1">
      <c r="D20" s="100" t="s">
        <v>226</v>
      </c>
    </row>
    <row r="21" spans="4:4">
      <c r="D21" s="12"/>
    </row>
  </sheetData>
  <mergeCells count="11">
    <mergeCell ref="B3:P3"/>
    <mergeCell ref="B4:L4"/>
    <mergeCell ref="B6:D6"/>
    <mergeCell ref="F6:H6"/>
    <mergeCell ref="J6:L6"/>
    <mergeCell ref="N6:P6"/>
    <mergeCell ref="B7:D7"/>
    <mergeCell ref="C8:D8"/>
    <mergeCell ref="C11:D11"/>
    <mergeCell ref="C15:D15"/>
    <mergeCell ref="B16:D16"/>
  </mergeCells>
  <phoneticPr fontId="1" type="noConversion"/>
  <hyperlinks>
    <hyperlink ref="A1" location="목차!A1" display="(목차로 이동)" xr:uid="{00000000-0004-0000-1000-000000000000}"/>
  </hyperlinks>
  <pageMargins left="0.7" right="0.7" top="0.75" bottom="0.75" header="0.3" footer="0.3"/>
  <pageSetup paperSize="9" scale="67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5" tint="0.79998168889431442"/>
    <pageSetUpPr fitToPage="1"/>
  </sheetPr>
  <dimension ref="A1:P21"/>
  <sheetViews>
    <sheetView view="pageBreakPreview" zoomScaleNormal="100" zoomScaleSheetLayoutView="100" workbookViewId="0">
      <selection activeCell="D18" sqref="D18"/>
    </sheetView>
  </sheetViews>
  <sheetFormatPr defaultRowHeight="16.5"/>
  <cols>
    <col min="1" max="1" width="2.625" customWidth="1"/>
    <col min="2" max="2" width="2.125" customWidth="1"/>
    <col min="3" max="3" width="2.125" style="7" customWidth="1"/>
    <col min="4" max="4" width="26.625" customWidth="1"/>
    <col min="5" max="5" width="1.625" customWidth="1"/>
    <col min="6" max="7" width="9.625" style="23" bestFit="1" customWidth="1"/>
    <col min="8" max="8" width="9.625" bestFit="1" customWidth="1"/>
    <col min="9" max="9" width="1.625" customWidth="1"/>
    <col min="10" max="11" width="9" style="23"/>
    <col min="13" max="13" width="1.625" customWidth="1"/>
    <col min="14" max="15" width="9" style="23"/>
  </cols>
  <sheetData>
    <row r="1" spans="1:16" s="14" customFormat="1" ht="16.5" customHeight="1">
      <c r="A1" s="32" t="s">
        <v>46</v>
      </c>
      <c r="B1"/>
      <c r="C1" s="7"/>
      <c r="D1" s="7"/>
      <c r="E1"/>
      <c r="I1"/>
      <c r="M1"/>
    </row>
    <row r="2" spans="1:16" s="14" customFormat="1" ht="6" customHeight="1">
      <c r="A2" s="32"/>
      <c r="B2"/>
      <c r="C2" s="7"/>
      <c r="D2" s="7"/>
      <c r="E2"/>
      <c r="I2"/>
      <c r="M2"/>
    </row>
    <row r="3" spans="1:16" s="14" customFormat="1" ht="18.75" customHeight="1">
      <c r="B3" s="278" t="s">
        <v>100</v>
      </c>
      <c r="C3" s="278"/>
      <c r="D3" s="278"/>
      <c r="E3" s="278"/>
      <c r="F3" s="278"/>
      <c r="G3" s="278"/>
      <c r="H3" s="278"/>
      <c r="I3" s="278"/>
      <c r="J3" s="278"/>
      <c r="K3" s="278"/>
      <c r="L3" s="278"/>
      <c r="M3" s="278"/>
      <c r="N3" s="278"/>
      <c r="O3" s="278"/>
      <c r="P3" s="278"/>
    </row>
    <row r="4" spans="1:16" s="14" customFormat="1" ht="18.75" customHeight="1">
      <c r="A4"/>
      <c r="B4" s="304"/>
      <c r="C4" s="304"/>
      <c r="D4" s="304"/>
      <c r="E4" s="304"/>
      <c r="F4" s="304"/>
      <c r="G4" s="304"/>
      <c r="H4" s="304"/>
      <c r="I4" s="304"/>
      <c r="J4" s="304"/>
      <c r="K4" s="304"/>
      <c r="L4" s="304"/>
      <c r="M4" s="72"/>
      <c r="N4" s="268"/>
    </row>
    <row r="5" spans="1:16" ht="8.25" customHeight="1" thickBot="1">
      <c r="C5"/>
    </row>
    <row r="6" spans="1:16" s="14" customFormat="1" ht="18" customHeight="1" thickTop="1">
      <c r="A6"/>
      <c r="B6" s="306" t="s">
        <v>0</v>
      </c>
      <c r="C6" s="306"/>
      <c r="D6" s="306"/>
      <c r="E6" s="131"/>
      <c r="F6" s="307" t="s">
        <v>265</v>
      </c>
      <c r="G6" s="307"/>
      <c r="H6" s="307"/>
      <c r="I6" s="170"/>
      <c r="J6" s="307" t="s">
        <v>266</v>
      </c>
      <c r="K6" s="307"/>
      <c r="L6" s="307"/>
      <c r="M6" s="170"/>
      <c r="N6" s="307" t="s">
        <v>120</v>
      </c>
      <c r="O6" s="307"/>
      <c r="P6" s="307"/>
    </row>
    <row r="7" spans="1:16" s="14" customFormat="1" ht="18" customHeight="1" thickBot="1">
      <c r="A7"/>
      <c r="B7" s="305" t="s">
        <v>0</v>
      </c>
      <c r="C7" s="305"/>
      <c r="D7" s="305"/>
      <c r="E7" s="26" t="s">
        <v>0</v>
      </c>
      <c r="F7" s="155" t="s">
        <v>293</v>
      </c>
      <c r="G7" s="155" t="s">
        <v>294</v>
      </c>
      <c r="H7" s="156" t="s">
        <v>287</v>
      </c>
      <c r="I7" s="189" t="s">
        <v>0</v>
      </c>
      <c r="J7" s="155" t="s">
        <v>293</v>
      </c>
      <c r="K7" s="155" t="s">
        <v>294</v>
      </c>
      <c r="L7" s="156" t="s">
        <v>287</v>
      </c>
      <c r="M7" s="189" t="s">
        <v>0</v>
      </c>
      <c r="N7" s="155" t="s">
        <v>293</v>
      </c>
      <c r="O7" s="155" t="s">
        <v>294</v>
      </c>
      <c r="P7" s="156" t="s">
        <v>287</v>
      </c>
    </row>
    <row r="8" spans="1:16" s="14" customFormat="1" ht="16.5" customHeight="1" thickTop="1">
      <c r="A8"/>
      <c r="B8" s="96"/>
      <c r="C8" s="281" t="s">
        <v>82</v>
      </c>
      <c r="D8" s="281"/>
      <c r="E8" s="4" t="s">
        <v>0</v>
      </c>
      <c r="F8" s="55">
        <v>653.86550208168694</v>
      </c>
      <c r="G8" s="55">
        <v>827.26488263180897</v>
      </c>
      <c r="H8" s="159">
        <v>1074.1216188105971</v>
      </c>
      <c r="I8" s="114"/>
      <c r="J8" s="115">
        <v>0.82394895446960237</v>
      </c>
      <c r="K8" s="115">
        <v>0.85249886260489505</v>
      </c>
      <c r="L8" s="185">
        <v>0.86671099879153657</v>
      </c>
      <c r="M8" s="114"/>
      <c r="N8" s="116">
        <v>50.222635816325898</v>
      </c>
      <c r="O8" s="116">
        <v>50.521514864459299</v>
      </c>
      <c r="P8" s="187">
        <v>52.750221865964782</v>
      </c>
    </row>
    <row r="9" spans="1:16" s="14" customFormat="1" ht="16.5" customHeight="1">
      <c r="A9"/>
      <c r="B9" s="28"/>
      <c r="C9" s="290" t="s">
        <v>85</v>
      </c>
      <c r="D9" s="290"/>
      <c r="E9" s="4" t="s">
        <v>0</v>
      </c>
      <c r="F9" s="55">
        <v>278.0461074202284</v>
      </c>
      <c r="G9" s="55">
        <v>348.94929930482499</v>
      </c>
      <c r="H9" s="159">
        <v>474.91941763230903</v>
      </c>
      <c r="I9" s="114"/>
      <c r="J9" s="109">
        <v>0.7639170367900423</v>
      </c>
      <c r="K9" s="109">
        <v>0.81251543899980705</v>
      </c>
      <c r="L9" s="179">
        <v>0.83285256603205449</v>
      </c>
      <c r="M9" s="114"/>
      <c r="N9" s="117">
        <v>21.356392635268008</v>
      </c>
      <c r="O9" s="117">
        <v>21.310522883173999</v>
      </c>
      <c r="P9" s="168">
        <v>23.323340867396311</v>
      </c>
    </row>
    <row r="10" spans="1:16" s="14" customFormat="1" ht="16.5" customHeight="1">
      <c r="A10"/>
      <c r="B10" s="28"/>
      <c r="C10" s="290" t="s">
        <v>117</v>
      </c>
      <c r="D10" s="290"/>
      <c r="E10" s="4" t="s">
        <v>0</v>
      </c>
      <c r="F10" s="135">
        <v>370.02225249808492</v>
      </c>
      <c r="G10" s="135">
        <v>461.23648606336599</v>
      </c>
      <c r="H10" s="184">
        <v>487.19991348120499</v>
      </c>
      <c r="I10" s="114"/>
      <c r="J10" s="118">
        <v>0.58764743562370803</v>
      </c>
      <c r="K10" s="118">
        <v>0.64524366768075403</v>
      </c>
      <c r="L10" s="186">
        <v>0.68012843328891304</v>
      </c>
      <c r="M10" s="114"/>
      <c r="N10" s="119">
        <v>28.420971548406111</v>
      </c>
      <c r="O10" s="119">
        <v>28.167962252366699</v>
      </c>
      <c r="P10" s="188">
        <v>23.926437266638931</v>
      </c>
    </row>
    <row r="11" spans="1:16" s="14" customFormat="1" ht="16.5" customHeight="1" thickBot="1">
      <c r="A11"/>
      <c r="B11" s="308" t="s">
        <v>118</v>
      </c>
      <c r="C11" s="308"/>
      <c r="D11" s="308"/>
      <c r="E11" s="48" t="s">
        <v>0</v>
      </c>
      <c r="F11" s="61">
        <v>1301.9338620000001</v>
      </c>
      <c r="G11" s="61">
        <v>1637.450668</v>
      </c>
      <c r="H11" s="162">
        <v>2036.2409499241098</v>
      </c>
      <c r="I11" s="120"/>
      <c r="J11" s="112">
        <v>0.7284701166668166</v>
      </c>
      <c r="K11" s="112">
        <v>0.77432068874162197</v>
      </c>
      <c r="L11" s="182">
        <v>0.80615265165584704</v>
      </c>
      <c r="M11" s="120"/>
      <c r="N11" s="121">
        <v>100</v>
      </c>
      <c r="O11" s="121">
        <v>100</v>
      </c>
      <c r="P11" s="172">
        <v>100</v>
      </c>
    </row>
    <row r="12" spans="1:16" ht="9" customHeight="1" thickTop="1"/>
    <row r="13" spans="1:16" ht="16.5" customHeight="1">
      <c r="D13" s="12" t="s">
        <v>323</v>
      </c>
    </row>
    <row r="14" spans="1:16" ht="16.5" customHeight="1">
      <c r="D14" s="273" t="s">
        <v>324</v>
      </c>
    </row>
    <row r="15" spans="1:16" ht="16.5" customHeight="1">
      <c r="D15" s="272" t="s">
        <v>325</v>
      </c>
    </row>
    <row r="16" spans="1:16" ht="16.5" customHeight="1">
      <c r="D16" s="272" t="s">
        <v>326</v>
      </c>
    </row>
    <row r="18" spans="4:4">
      <c r="D18" s="32" t="s">
        <v>119</v>
      </c>
    </row>
    <row r="21" spans="4:4" ht="18" customHeight="1"/>
  </sheetData>
  <mergeCells count="11">
    <mergeCell ref="B3:P3"/>
    <mergeCell ref="B4:L4"/>
    <mergeCell ref="B6:D6"/>
    <mergeCell ref="F6:H6"/>
    <mergeCell ref="J6:L6"/>
    <mergeCell ref="N6:P6"/>
    <mergeCell ref="B7:D7"/>
    <mergeCell ref="C8:D8"/>
    <mergeCell ref="C9:D9"/>
    <mergeCell ref="C10:D10"/>
    <mergeCell ref="B11:D11"/>
  </mergeCells>
  <phoneticPr fontId="1" type="noConversion"/>
  <hyperlinks>
    <hyperlink ref="A1" location="목차!A1" display="(목차로 이동)" xr:uid="{00000000-0004-0000-1100-000000000000}"/>
    <hyperlink ref="D18" location="'16(상세)최종수요항목별 VA유발계수 및 VA유발구성비'!A1" display="(최종수요 상세항목을 보려면 클릭)" xr:uid="{00000000-0004-0000-1100-000001000000}"/>
  </hyperlinks>
  <pageMargins left="0.7" right="0.7" top="0.75" bottom="0.75" header="0.3" footer="0.3"/>
  <pageSetup paperSize="9" scale="67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5" tint="0.79998168889431442"/>
    <pageSetUpPr fitToPage="1"/>
  </sheetPr>
  <dimension ref="A1:Q21"/>
  <sheetViews>
    <sheetView view="pageBreakPreview" zoomScale="90" zoomScaleNormal="100" zoomScaleSheetLayoutView="90" workbookViewId="0"/>
  </sheetViews>
  <sheetFormatPr defaultRowHeight="16.5"/>
  <cols>
    <col min="1" max="1" width="2.625" customWidth="1"/>
    <col min="2" max="2" width="2.125" customWidth="1"/>
    <col min="3" max="3" width="2.125" style="7" customWidth="1"/>
    <col min="4" max="4" width="26.625" customWidth="1"/>
    <col min="5" max="5" width="1.625" customWidth="1"/>
    <col min="6" max="7" width="10.25" style="23" bestFit="1" customWidth="1"/>
    <col min="8" max="8" width="10.25" bestFit="1" customWidth="1"/>
    <col min="9" max="9" width="1.625" customWidth="1"/>
    <col min="10" max="11" width="9.125" style="23" bestFit="1" customWidth="1"/>
    <col min="12" max="12" width="9.125" bestFit="1" customWidth="1"/>
    <col min="13" max="13" width="1.625" customWidth="1"/>
    <col min="14" max="15" width="9.75" style="23" bestFit="1" customWidth="1"/>
    <col min="16" max="16" width="9.75" bestFit="1" customWidth="1"/>
  </cols>
  <sheetData>
    <row r="1" spans="1:17" s="14" customFormat="1" ht="16.5" customHeight="1">
      <c r="A1" s="32" t="s">
        <v>125</v>
      </c>
      <c r="B1"/>
      <c r="C1" s="7"/>
      <c r="D1" s="7"/>
      <c r="E1"/>
      <c r="I1"/>
      <c r="M1"/>
    </row>
    <row r="2" spans="1:17" s="14" customFormat="1" ht="6" customHeight="1">
      <c r="A2" s="32"/>
      <c r="B2"/>
      <c r="C2" s="7"/>
      <c r="D2" s="7"/>
      <c r="E2"/>
      <c r="I2"/>
      <c r="M2"/>
    </row>
    <row r="3" spans="1:17" s="14" customFormat="1" ht="18.75" customHeight="1">
      <c r="B3" s="278" t="s">
        <v>126</v>
      </c>
      <c r="C3" s="278"/>
      <c r="D3" s="278"/>
      <c r="E3" s="278"/>
      <c r="F3" s="278"/>
      <c r="G3" s="278"/>
      <c r="H3" s="278"/>
      <c r="I3" s="278"/>
      <c r="J3" s="278"/>
      <c r="K3" s="278"/>
      <c r="L3" s="278"/>
      <c r="M3" s="278"/>
      <c r="N3" s="278"/>
      <c r="O3" s="278"/>
      <c r="P3" s="278"/>
    </row>
    <row r="4" spans="1:17" s="14" customFormat="1" ht="18.75" customHeight="1">
      <c r="A4"/>
      <c r="B4" s="304"/>
      <c r="C4" s="304"/>
      <c r="D4" s="304"/>
      <c r="E4" s="304"/>
      <c r="F4" s="304"/>
      <c r="G4" s="304"/>
      <c r="H4" s="304"/>
      <c r="I4" s="304"/>
      <c r="J4" s="304"/>
      <c r="K4" s="304"/>
      <c r="L4" s="304"/>
      <c r="M4" s="72"/>
      <c r="N4" s="268"/>
    </row>
    <row r="5" spans="1:17" ht="8.25" customHeight="1" thickBot="1">
      <c r="C5"/>
    </row>
    <row r="6" spans="1:17" s="14" customFormat="1" ht="18" customHeight="1" thickTop="1">
      <c r="A6"/>
      <c r="B6" s="306" t="s">
        <v>0</v>
      </c>
      <c r="C6" s="306"/>
      <c r="D6" s="306"/>
      <c r="E6" s="131"/>
      <c r="F6" s="307" t="s">
        <v>265</v>
      </c>
      <c r="G6" s="307"/>
      <c r="H6" s="307"/>
      <c r="I6" s="170"/>
      <c r="J6" s="307" t="s">
        <v>266</v>
      </c>
      <c r="K6" s="307"/>
      <c r="L6" s="307"/>
      <c r="M6" s="170"/>
      <c r="N6" s="307" t="s">
        <v>120</v>
      </c>
      <c r="O6" s="307"/>
      <c r="P6" s="307"/>
    </row>
    <row r="7" spans="1:17" s="14" customFormat="1" ht="18" customHeight="1" thickBot="1">
      <c r="A7"/>
      <c r="B7" s="305" t="s">
        <v>0</v>
      </c>
      <c r="C7" s="305"/>
      <c r="D7" s="305"/>
      <c r="E7" s="26" t="s">
        <v>0</v>
      </c>
      <c r="F7" s="155" t="s">
        <v>293</v>
      </c>
      <c r="G7" s="155" t="s">
        <v>294</v>
      </c>
      <c r="H7" s="156" t="s">
        <v>287</v>
      </c>
      <c r="I7" s="189" t="s">
        <v>0</v>
      </c>
      <c r="J7" s="155" t="s">
        <v>293</v>
      </c>
      <c r="K7" s="155" t="s">
        <v>294</v>
      </c>
      <c r="L7" s="156" t="s">
        <v>287</v>
      </c>
      <c r="M7" s="189" t="s">
        <v>0</v>
      </c>
      <c r="N7" s="155" t="s">
        <v>293</v>
      </c>
      <c r="O7" s="155" t="s">
        <v>294</v>
      </c>
      <c r="P7" s="156" t="s">
        <v>287</v>
      </c>
    </row>
    <row r="8" spans="1:17" s="14" customFormat="1" ht="24" customHeight="1" thickTop="1">
      <c r="A8"/>
      <c r="B8" s="96"/>
      <c r="C8" s="281" t="s">
        <v>82</v>
      </c>
      <c r="D8" s="281"/>
      <c r="E8" s="4" t="s">
        <v>0</v>
      </c>
      <c r="F8" s="52">
        <v>653.86550208168694</v>
      </c>
      <c r="G8" s="52">
        <v>827.26488263180897</v>
      </c>
      <c r="H8" s="158">
        <v>1074.1216188105971</v>
      </c>
      <c r="I8" s="122"/>
      <c r="J8" s="108">
        <v>0.82394895446960237</v>
      </c>
      <c r="K8" s="108">
        <v>0.85249886260489505</v>
      </c>
      <c r="L8" s="183">
        <v>0.86671099879153657</v>
      </c>
      <c r="M8" s="122"/>
      <c r="N8" s="123">
        <v>50.222635816325898</v>
      </c>
      <c r="O8" s="123">
        <v>50.521514864459299</v>
      </c>
      <c r="P8" s="190">
        <v>52.750221865964782</v>
      </c>
      <c r="Q8" s="200"/>
    </row>
    <row r="9" spans="1:17" s="14" customFormat="1" ht="24" customHeight="1">
      <c r="A9"/>
      <c r="B9" s="28"/>
      <c r="C9" s="97"/>
      <c r="D9" s="98" t="s">
        <v>127</v>
      </c>
      <c r="E9" s="4" t="s">
        <v>0</v>
      </c>
      <c r="F9" s="55">
        <v>487.08524109449132</v>
      </c>
      <c r="G9" s="55">
        <v>601.05449038049301</v>
      </c>
      <c r="H9" s="159">
        <v>757.04085012863152</v>
      </c>
      <c r="I9" s="114"/>
      <c r="J9" s="109">
        <v>0.80416839221408598</v>
      </c>
      <c r="K9" s="109">
        <v>0.83443629570174105</v>
      </c>
      <c r="L9" s="179">
        <v>0.85087385202673327</v>
      </c>
      <c r="M9" s="114"/>
      <c r="N9" s="117">
        <v>37.41244123923795</v>
      </c>
      <c r="O9" s="117">
        <v>36.706723575045302</v>
      </c>
      <c r="P9" s="168">
        <v>37.17835170111298</v>
      </c>
      <c r="Q9" s="200"/>
    </row>
    <row r="10" spans="1:17" s="14" customFormat="1" ht="24" customHeight="1">
      <c r="A10"/>
      <c r="B10" s="28"/>
      <c r="C10" s="97"/>
      <c r="D10" s="99" t="s">
        <v>128</v>
      </c>
      <c r="E10" s="4" t="s">
        <v>0</v>
      </c>
      <c r="F10" s="55">
        <v>166.7802609871957</v>
      </c>
      <c r="G10" s="55">
        <v>226.21039225131599</v>
      </c>
      <c r="H10" s="159">
        <v>317.08083026720914</v>
      </c>
      <c r="I10" s="114"/>
      <c r="J10" s="109">
        <v>0.88772069948468313</v>
      </c>
      <c r="K10" s="109">
        <v>0.90452329258525399</v>
      </c>
      <c r="L10" s="179">
        <v>0.90701762477892733</v>
      </c>
      <c r="M10" s="114"/>
      <c r="N10" s="117">
        <v>12.81019457708795</v>
      </c>
      <c r="O10" s="117">
        <v>13.814791289414</v>
      </c>
      <c r="P10" s="168">
        <v>15.571871218511101</v>
      </c>
      <c r="Q10" s="200"/>
    </row>
    <row r="11" spans="1:17" s="14" customFormat="1" ht="24" customHeight="1">
      <c r="A11"/>
      <c r="B11" s="28"/>
      <c r="C11" s="290" t="s">
        <v>85</v>
      </c>
      <c r="D11" s="290"/>
      <c r="E11" s="4" t="s">
        <v>0</v>
      </c>
      <c r="F11" s="52">
        <v>278.0461074202284</v>
      </c>
      <c r="G11" s="52">
        <v>348.94929930482499</v>
      </c>
      <c r="H11" s="158">
        <v>474.91941763230903</v>
      </c>
      <c r="I11" s="122"/>
      <c r="J11" s="106">
        <v>0.7639170367900423</v>
      </c>
      <c r="K11" s="106">
        <v>0.81251543899980705</v>
      </c>
      <c r="L11" s="178">
        <v>0.83285256603205449</v>
      </c>
      <c r="M11" s="122"/>
      <c r="N11" s="125">
        <v>21.356392635268008</v>
      </c>
      <c r="O11" s="125">
        <v>21.310522883173999</v>
      </c>
      <c r="P11" s="171">
        <v>23.323340867396311</v>
      </c>
      <c r="Q11" s="200"/>
    </row>
    <row r="12" spans="1:17" s="14" customFormat="1" ht="24" customHeight="1">
      <c r="A12"/>
      <c r="B12" s="28"/>
      <c r="C12" s="97"/>
      <c r="D12" s="99" t="s">
        <v>129</v>
      </c>
      <c r="E12" s="5" t="s">
        <v>0</v>
      </c>
      <c r="F12" s="55">
        <v>211.10316895666051</v>
      </c>
      <c r="G12" s="55">
        <v>288.351372327371</v>
      </c>
      <c r="H12" s="159">
        <v>389.5983226348078</v>
      </c>
      <c r="I12" s="114"/>
      <c r="J12" s="109">
        <v>0.77700988187292697</v>
      </c>
      <c r="K12" s="109">
        <v>0.81628083276297003</v>
      </c>
      <c r="L12" s="179">
        <v>0.83693346086714904</v>
      </c>
      <c r="M12" s="114"/>
      <c r="N12" s="117">
        <v>16.2145847126496</v>
      </c>
      <c r="O12" s="117">
        <v>17.609774630924701</v>
      </c>
      <c r="P12" s="168">
        <v>19.133212505797331</v>
      </c>
      <c r="Q12" s="200"/>
    </row>
    <row r="13" spans="1:17" s="14" customFormat="1" ht="24" customHeight="1">
      <c r="A13"/>
      <c r="B13" s="28"/>
      <c r="C13" s="97"/>
      <c r="D13" s="99" t="s">
        <v>130</v>
      </c>
      <c r="E13" s="5" t="s">
        <v>0</v>
      </c>
      <c r="F13" s="55">
        <v>50.344723895872832</v>
      </c>
      <c r="G13" s="55">
        <v>55.085711321918097</v>
      </c>
      <c r="H13" s="159">
        <v>78.686750035197491</v>
      </c>
      <c r="I13" s="114"/>
      <c r="J13" s="109">
        <v>0.76532275416451001</v>
      </c>
      <c r="K13" s="109">
        <v>0.80236901139142602</v>
      </c>
      <c r="L13" s="179">
        <v>0.82254309443204066</v>
      </c>
      <c r="M13" s="114"/>
      <c r="N13" s="117">
        <v>3.866918694205745</v>
      </c>
      <c r="O13" s="117">
        <v>3.36411425384805</v>
      </c>
      <c r="P13" s="168">
        <v>3.8643141470226672</v>
      </c>
      <c r="Q13" s="200"/>
    </row>
    <row r="14" spans="1:17" s="14" customFormat="1" ht="24" customHeight="1">
      <c r="A14"/>
      <c r="B14" s="28"/>
      <c r="C14" s="97"/>
      <c r="D14" s="99" t="s">
        <v>131</v>
      </c>
      <c r="E14" s="5" t="s">
        <v>0</v>
      </c>
      <c r="F14" s="55">
        <v>16.07407273478746</v>
      </c>
      <c r="G14" s="55">
        <v>5.5122156555363997</v>
      </c>
      <c r="H14" s="159">
        <v>5.1084467823970598</v>
      </c>
      <c r="I14" s="114"/>
      <c r="J14" s="109">
        <v>0.62359261079330808</v>
      </c>
      <c r="K14" s="109">
        <v>0.72875725381064105</v>
      </c>
      <c r="L14" s="179">
        <v>0.71702721677509695</v>
      </c>
      <c r="M14" s="114"/>
      <c r="N14" s="117">
        <v>1.2346305141871681</v>
      </c>
      <c r="O14" s="117">
        <v>0.33663399840125102</v>
      </c>
      <c r="P14" s="168">
        <v>0.25087633129718989</v>
      </c>
      <c r="Q14" s="200"/>
    </row>
    <row r="15" spans="1:17" s="14" customFormat="1" ht="24" customHeight="1">
      <c r="A15"/>
      <c r="B15" s="28"/>
      <c r="C15" s="290" t="s">
        <v>132</v>
      </c>
      <c r="D15" s="290"/>
      <c r="E15" s="4" t="s">
        <v>0</v>
      </c>
      <c r="F15" s="66">
        <v>370.02225249808492</v>
      </c>
      <c r="G15" s="66">
        <v>461.23648606336599</v>
      </c>
      <c r="H15" s="161">
        <v>487.19991348120499</v>
      </c>
      <c r="I15" s="122"/>
      <c r="J15" s="111">
        <v>0.58764743562370803</v>
      </c>
      <c r="K15" s="111">
        <v>0.64524366768075403</v>
      </c>
      <c r="L15" s="181">
        <v>0.68012843328891304</v>
      </c>
      <c r="M15" s="122"/>
      <c r="N15" s="81">
        <v>28.420971548406111</v>
      </c>
      <c r="O15" s="81">
        <v>28.167962252366699</v>
      </c>
      <c r="P15" s="169">
        <v>23.926437266638931</v>
      </c>
      <c r="Q15" s="200"/>
    </row>
    <row r="16" spans="1:17" s="14" customFormat="1" ht="24" customHeight="1" thickBot="1">
      <c r="A16"/>
      <c r="B16" s="308" t="s">
        <v>133</v>
      </c>
      <c r="C16" s="308"/>
      <c r="D16" s="308"/>
      <c r="E16" s="48" t="s">
        <v>0</v>
      </c>
      <c r="F16" s="61">
        <v>1301.9338620000001</v>
      </c>
      <c r="G16" s="61">
        <v>1637.450668</v>
      </c>
      <c r="H16" s="162">
        <v>2036.2409499241098</v>
      </c>
      <c r="I16" s="120"/>
      <c r="J16" s="112">
        <v>0.7284701166668166</v>
      </c>
      <c r="K16" s="112">
        <v>0.77432068874162197</v>
      </c>
      <c r="L16" s="182">
        <v>0.80615265165584704</v>
      </c>
      <c r="M16" s="120"/>
      <c r="N16" s="121">
        <v>100</v>
      </c>
      <c r="O16" s="121">
        <v>100</v>
      </c>
      <c r="P16" s="172">
        <v>100</v>
      </c>
      <c r="Q16" s="200"/>
    </row>
    <row r="17" spans="4:4" ht="9" customHeight="1" thickTop="1"/>
    <row r="18" spans="4:4" ht="16.5" customHeight="1">
      <c r="D18" s="12" t="s">
        <v>323</v>
      </c>
    </row>
    <row r="19" spans="4:4" ht="16.5" customHeight="1">
      <c r="D19" s="273" t="s">
        <v>324</v>
      </c>
    </row>
    <row r="20" spans="4:4" ht="16.5" customHeight="1">
      <c r="D20" s="272" t="s">
        <v>325</v>
      </c>
    </row>
    <row r="21" spans="4:4">
      <c r="D21" s="272" t="s">
        <v>326</v>
      </c>
    </row>
  </sheetData>
  <mergeCells count="11">
    <mergeCell ref="B3:P3"/>
    <mergeCell ref="B4:L4"/>
    <mergeCell ref="B6:D6"/>
    <mergeCell ref="F6:H6"/>
    <mergeCell ref="J6:L6"/>
    <mergeCell ref="N6:P6"/>
    <mergeCell ref="B7:D7"/>
    <mergeCell ref="C8:D8"/>
    <mergeCell ref="C11:D11"/>
    <mergeCell ref="C15:D15"/>
    <mergeCell ref="B16:D16"/>
  </mergeCells>
  <phoneticPr fontId="1" type="noConversion"/>
  <hyperlinks>
    <hyperlink ref="A1" location="목차!A1" display="(목차로 이동)" xr:uid="{00000000-0004-0000-1200-000000000000}"/>
  </hyperlinks>
  <pageMargins left="0.7" right="0.7" top="0.75" bottom="0.75" header="0.3" footer="0.3"/>
  <pageSetup paperSize="9" scale="65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5" tint="0.79998168889431442"/>
    <pageSetUpPr fitToPage="1"/>
  </sheetPr>
  <dimension ref="A1:P21"/>
  <sheetViews>
    <sheetView view="pageBreakPreview" zoomScaleNormal="100" zoomScaleSheetLayoutView="100" workbookViewId="0"/>
  </sheetViews>
  <sheetFormatPr defaultRowHeight="16.5"/>
  <cols>
    <col min="1" max="1" width="2.625" customWidth="1"/>
    <col min="2" max="2" width="2.125" customWidth="1"/>
    <col min="3" max="3" width="2.125" style="7" customWidth="1"/>
    <col min="4" max="4" width="26.625" customWidth="1"/>
    <col min="5" max="5" width="1.625" customWidth="1"/>
    <col min="6" max="7" width="9" style="23"/>
    <col min="9" max="9" width="1.625" customWidth="1"/>
    <col min="10" max="11" width="9" style="23"/>
    <col min="13" max="13" width="1.625" customWidth="1"/>
    <col min="14" max="15" width="9" style="23"/>
  </cols>
  <sheetData>
    <row r="1" spans="1:16" s="14" customFormat="1" ht="16.5" customHeight="1">
      <c r="A1" s="32" t="s">
        <v>46</v>
      </c>
      <c r="B1"/>
      <c r="C1" s="7"/>
      <c r="D1" s="7"/>
      <c r="E1"/>
      <c r="I1"/>
      <c r="M1"/>
    </row>
    <row r="2" spans="1:16" s="14" customFormat="1" ht="6" customHeight="1">
      <c r="A2" s="32"/>
      <c r="B2"/>
      <c r="C2" s="7"/>
      <c r="D2" s="7"/>
      <c r="E2"/>
      <c r="I2"/>
      <c r="M2"/>
    </row>
    <row r="3" spans="1:16" s="14" customFormat="1" ht="18.75" customHeight="1">
      <c r="B3" s="278" t="s">
        <v>121</v>
      </c>
      <c r="C3" s="278"/>
      <c r="D3" s="278"/>
      <c r="E3" s="278"/>
      <c r="F3" s="278"/>
      <c r="G3" s="278"/>
      <c r="H3" s="278"/>
      <c r="I3" s="278"/>
      <c r="J3" s="278"/>
      <c r="K3" s="278"/>
      <c r="L3" s="278"/>
      <c r="M3" s="278"/>
      <c r="N3" s="278"/>
      <c r="O3" s="278"/>
      <c r="P3" s="278"/>
    </row>
    <row r="4" spans="1:16" s="14" customFormat="1" ht="18.75" customHeight="1">
      <c r="A4"/>
      <c r="B4" s="304"/>
      <c r="C4" s="304"/>
      <c r="D4" s="304"/>
      <c r="E4" s="304"/>
      <c r="F4" s="304"/>
      <c r="G4" s="304"/>
      <c r="H4" s="304"/>
      <c r="I4" s="304"/>
      <c r="J4" s="304"/>
      <c r="K4" s="304"/>
      <c r="L4" s="304"/>
      <c r="M4" s="72"/>
      <c r="N4" s="268"/>
    </row>
    <row r="5" spans="1:16" ht="8.25" customHeight="1" thickBot="1">
      <c r="C5"/>
    </row>
    <row r="6" spans="1:16" s="14" customFormat="1" ht="18" customHeight="1" thickTop="1">
      <c r="A6"/>
      <c r="B6" s="306" t="s">
        <v>0</v>
      </c>
      <c r="C6" s="306"/>
      <c r="D6" s="306"/>
      <c r="E6" s="131"/>
      <c r="F6" s="307" t="s">
        <v>267</v>
      </c>
      <c r="G6" s="307"/>
      <c r="H6" s="307"/>
      <c r="I6" s="170"/>
      <c r="J6" s="307" t="s">
        <v>268</v>
      </c>
      <c r="K6" s="307"/>
      <c r="L6" s="307"/>
      <c r="M6" s="170"/>
      <c r="N6" s="307" t="s">
        <v>123</v>
      </c>
      <c r="O6" s="307"/>
      <c r="P6" s="307"/>
    </row>
    <row r="7" spans="1:16" s="14" customFormat="1" ht="18" customHeight="1" thickBot="1">
      <c r="A7"/>
      <c r="B7" s="305" t="s">
        <v>0</v>
      </c>
      <c r="C7" s="305"/>
      <c r="D7" s="305"/>
      <c r="E7" s="26" t="s">
        <v>0</v>
      </c>
      <c r="F7" s="155" t="s">
        <v>293</v>
      </c>
      <c r="G7" s="155" t="s">
        <v>294</v>
      </c>
      <c r="H7" s="156" t="s">
        <v>287</v>
      </c>
      <c r="I7" s="189" t="s">
        <v>0</v>
      </c>
      <c r="J7" s="155" t="s">
        <v>293</v>
      </c>
      <c r="K7" s="155" t="s">
        <v>294</v>
      </c>
      <c r="L7" s="156" t="s">
        <v>287</v>
      </c>
      <c r="M7" s="189" t="s">
        <v>0</v>
      </c>
      <c r="N7" s="155" t="s">
        <v>293</v>
      </c>
      <c r="O7" s="155" t="s">
        <v>294</v>
      </c>
      <c r="P7" s="156" t="s">
        <v>287</v>
      </c>
    </row>
    <row r="8" spans="1:16" s="14" customFormat="1" ht="16.5" customHeight="1" thickTop="1">
      <c r="A8"/>
      <c r="B8" s="96"/>
      <c r="C8" s="281" t="s">
        <v>82</v>
      </c>
      <c r="D8" s="281"/>
      <c r="E8" s="4" t="s">
        <v>0</v>
      </c>
      <c r="F8" s="55">
        <v>201.07051791831307</v>
      </c>
      <c r="G8" s="55">
        <v>227.63543736819099</v>
      </c>
      <c r="H8" s="159">
        <v>259.55245460415944</v>
      </c>
      <c r="I8" s="114"/>
      <c r="J8" s="115">
        <v>0.2351877955947079</v>
      </c>
      <c r="K8" s="115">
        <v>0.21578857551981001</v>
      </c>
      <c r="L8" s="185">
        <v>0.1946145972188022</v>
      </c>
      <c r="M8" s="114"/>
      <c r="N8" s="116">
        <v>32.789985134649207</v>
      </c>
      <c r="O8" s="116">
        <v>36.479899895537997</v>
      </c>
      <c r="P8" s="187">
        <v>39.092996799804112</v>
      </c>
    </row>
    <row r="9" spans="1:16" s="14" customFormat="1" ht="16.5" customHeight="1">
      <c r="A9"/>
      <c r="B9" s="28"/>
      <c r="C9" s="290" t="s">
        <v>85</v>
      </c>
      <c r="D9" s="290"/>
      <c r="E9" s="4" t="s">
        <v>0</v>
      </c>
      <c r="F9" s="55">
        <v>152.49174457977139</v>
      </c>
      <c r="G9" s="55">
        <v>140.652234695174</v>
      </c>
      <c r="H9" s="159">
        <v>174.00936087704559</v>
      </c>
      <c r="I9" s="114"/>
      <c r="J9" s="109">
        <v>0.35418893802575913</v>
      </c>
      <c r="K9" s="109">
        <v>0.28727899103186699</v>
      </c>
      <c r="L9" s="179">
        <v>0.26814862085653463</v>
      </c>
      <c r="M9" s="114"/>
      <c r="N9" s="117">
        <v>24.867902513479439</v>
      </c>
      <c r="O9" s="117">
        <v>22.540336869713801</v>
      </c>
      <c r="P9" s="168">
        <v>26.208757679740661</v>
      </c>
    </row>
    <row r="10" spans="1:16" s="14" customFormat="1" ht="16.5" customHeight="1">
      <c r="A10"/>
      <c r="B10" s="28"/>
      <c r="C10" s="290" t="s">
        <v>91</v>
      </c>
      <c r="D10" s="290"/>
      <c r="E10" s="4" t="s">
        <v>0</v>
      </c>
      <c r="F10" s="135">
        <v>259.64484050191538</v>
      </c>
      <c r="G10" s="135">
        <v>255.71469093663401</v>
      </c>
      <c r="H10" s="184">
        <v>230.37412151879502</v>
      </c>
      <c r="I10" s="114"/>
      <c r="J10" s="118">
        <v>0.41235256437629242</v>
      </c>
      <c r="K10" s="118">
        <v>0.35666960197574799</v>
      </c>
      <c r="L10" s="186">
        <v>0.32104578800540767</v>
      </c>
      <c r="M10" s="114"/>
      <c r="N10" s="119">
        <v>42.342112351871329</v>
      </c>
      <c r="O10" s="119">
        <v>40.979763234748198</v>
      </c>
      <c r="P10" s="188">
        <v>34.698245520455231</v>
      </c>
    </row>
    <row r="11" spans="1:16" s="14" customFormat="1" ht="16.5" customHeight="1" thickBot="1">
      <c r="A11"/>
      <c r="B11" s="308" t="s">
        <v>92</v>
      </c>
      <c r="C11" s="308"/>
      <c r="D11" s="308"/>
      <c r="E11" s="48" t="s">
        <v>0</v>
      </c>
      <c r="F11" s="61">
        <v>613.20710299999996</v>
      </c>
      <c r="G11" s="61">
        <v>624.00236299999995</v>
      </c>
      <c r="H11" s="162">
        <v>663.93593699999997</v>
      </c>
      <c r="I11" s="120"/>
      <c r="J11" s="112">
        <v>0.32018901700011421</v>
      </c>
      <c r="K11" s="112">
        <v>0.27592983557304801</v>
      </c>
      <c r="L11" s="182">
        <v>0.24588608305966059</v>
      </c>
      <c r="M11" s="120"/>
      <c r="N11" s="121">
        <v>100</v>
      </c>
      <c r="O11" s="121">
        <v>100</v>
      </c>
      <c r="P11" s="172">
        <v>100</v>
      </c>
    </row>
    <row r="12" spans="1:16" ht="9" customHeight="1" thickTop="1"/>
    <row r="13" spans="1:16" ht="16.5" customHeight="1">
      <c r="D13" s="12" t="s">
        <v>141</v>
      </c>
    </row>
    <row r="14" spans="1:16" ht="16.5" customHeight="1">
      <c r="D14" s="12" t="s">
        <v>230</v>
      </c>
    </row>
    <row r="15" spans="1:16" ht="16.5" customHeight="1">
      <c r="D15" s="100" t="s">
        <v>322</v>
      </c>
    </row>
    <row r="16" spans="1:16" ht="16.5" customHeight="1">
      <c r="D16" s="100" t="s">
        <v>321</v>
      </c>
    </row>
    <row r="18" spans="4:4">
      <c r="D18" s="32" t="s">
        <v>122</v>
      </c>
    </row>
    <row r="21" spans="4:4" ht="18" customHeight="1"/>
  </sheetData>
  <mergeCells count="11">
    <mergeCell ref="B3:P3"/>
    <mergeCell ref="B4:L4"/>
    <mergeCell ref="B6:D6"/>
    <mergeCell ref="F6:H6"/>
    <mergeCell ref="J6:L6"/>
    <mergeCell ref="N6:P6"/>
    <mergeCell ref="B7:D7"/>
    <mergeCell ref="C8:D8"/>
    <mergeCell ref="C9:D9"/>
    <mergeCell ref="C10:D10"/>
    <mergeCell ref="B11:D11"/>
  </mergeCells>
  <phoneticPr fontId="1" type="noConversion"/>
  <hyperlinks>
    <hyperlink ref="A1" location="목차!A1" display="(목차로 이동)" xr:uid="{00000000-0004-0000-1300-000000000000}"/>
    <hyperlink ref="D18" location="'17(상세)최종수요항목별 수입유발계수 및 수입유발구성비'!A1" display="(최종수요 상세항목을 보려면 클릭)" xr:uid="{00000000-0004-0000-1300-000001000000}"/>
  </hyperlinks>
  <pageMargins left="0.7" right="0.7" top="0.75" bottom="0.75" header="0.3" footer="0.3"/>
  <pageSetup paperSize="9" scale="68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5" tint="0.79998168889431442"/>
    <pageSetUpPr fitToPage="1"/>
  </sheetPr>
  <dimension ref="A1:R21"/>
  <sheetViews>
    <sheetView view="pageBreakPreview" zoomScaleNormal="100" zoomScaleSheetLayoutView="100" workbookViewId="0"/>
  </sheetViews>
  <sheetFormatPr defaultRowHeight="16.5"/>
  <cols>
    <col min="1" max="1" width="2.625" customWidth="1"/>
    <col min="2" max="2" width="2.125" customWidth="1"/>
    <col min="3" max="3" width="2.125" style="7" customWidth="1"/>
    <col min="4" max="4" width="26.625" customWidth="1"/>
    <col min="5" max="5" width="1.625" customWidth="1"/>
    <col min="6" max="7" width="9" style="23"/>
    <col min="9" max="9" width="1.625" customWidth="1"/>
    <col min="10" max="11" width="9" style="23"/>
    <col min="13" max="13" width="1.625" customWidth="1"/>
    <col min="14" max="15" width="9" style="23"/>
    <col min="17" max="17" width="18.375" bestFit="1" customWidth="1"/>
  </cols>
  <sheetData>
    <row r="1" spans="1:18" s="14" customFormat="1" ht="16.5" customHeight="1">
      <c r="A1" s="32" t="s">
        <v>46</v>
      </c>
      <c r="B1"/>
      <c r="C1" s="7"/>
      <c r="D1" s="7"/>
      <c r="E1"/>
      <c r="I1"/>
      <c r="M1"/>
    </row>
    <row r="2" spans="1:18" s="14" customFormat="1" ht="6" customHeight="1">
      <c r="A2" s="32"/>
      <c r="B2"/>
      <c r="C2" s="7"/>
      <c r="D2" s="7"/>
      <c r="E2"/>
      <c r="I2"/>
      <c r="M2"/>
    </row>
    <row r="3" spans="1:18" s="14" customFormat="1" ht="18.75" customHeight="1">
      <c r="B3" s="278" t="s">
        <v>121</v>
      </c>
      <c r="C3" s="278"/>
      <c r="D3" s="278"/>
      <c r="E3" s="278"/>
      <c r="F3" s="278"/>
      <c r="G3" s="278"/>
      <c r="H3" s="278"/>
      <c r="I3" s="278"/>
      <c r="J3" s="278"/>
      <c r="K3" s="278"/>
      <c r="L3" s="278"/>
      <c r="M3" s="278"/>
      <c r="N3" s="278"/>
      <c r="O3" s="278"/>
      <c r="P3" s="278"/>
    </row>
    <row r="4" spans="1:18" s="14" customFormat="1" ht="18.75" customHeight="1">
      <c r="A4"/>
      <c r="B4" s="304"/>
      <c r="C4" s="304"/>
      <c r="D4" s="304"/>
      <c r="E4" s="304"/>
      <c r="F4" s="304"/>
      <c r="G4" s="304"/>
      <c r="H4" s="304"/>
      <c r="I4" s="304"/>
      <c r="J4" s="304"/>
      <c r="K4" s="304"/>
      <c r="L4" s="304"/>
      <c r="M4" s="72"/>
      <c r="N4" s="268"/>
    </row>
    <row r="5" spans="1:18" ht="8.25" customHeight="1" thickBot="1">
      <c r="C5"/>
    </row>
    <row r="6" spans="1:18" s="14" customFormat="1" ht="18" customHeight="1" thickTop="1">
      <c r="A6"/>
      <c r="B6" s="306" t="s">
        <v>0</v>
      </c>
      <c r="C6" s="306"/>
      <c r="D6" s="306"/>
      <c r="E6" s="131"/>
      <c r="F6" s="307" t="s">
        <v>269</v>
      </c>
      <c r="G6" s="307"/>
      <c r="H6" s="307"/>
      <c r="I6" s="170"/>
      <c r="J6" s="307" t="s">
        <v>270</v>
      </c>
      <c r="K6" s="307"/>
      <c r="L6" s="307"/>
      <c r="M6" s="170"/>
      <c r="N6" s="307" t="s">
        <v>123</v>
      </c>
      <c r="O6" s="307"/>
      <c r="P6" s="307"/>
    </row>
    <row r="7" spans="1:18" s="14" customFormat="1" ht="18" customHeight="1" thickBot="1">
      <c r="A7"/>
      <c r="B7" s="305" t="s">
        <v>0</v>
      </c>
      <c r="C7" s="305"/>
      <c r="D7" s="305"/>
      <c r="E7" s="26" t="s">
        <v>0</v>
      </c>
      <c r="F7" s="155" t="s">
        <v>293</v>
      </c>
      <c r="G7" s="155" t="s">
        <v>294</v>
      </c>
      <c r="H7" s="156" t="s">
        <v>287</v>
      </c>
      <c r="I7" s="189" t="s">
        <v>0</v>
      </c>
      <c r="J7" s="155" t="s">
        <v>293</v>
      </c>
      <c r="K7" s="155" t="s">
        <v>294</v>
      </c>
      <c r="L7" s="156" t="s">
        <v>287</v>
      </c>
      <c r="M7" s="189" t="s">
        <v>0</v>
      </c>
      <c r="N7" s="155" t="s">
        <v>293</v>
      </c>
      <c r="O7" s="155" t="s">
        <v>294</v>
      </c>
      <c r="P7" s="156" t="s">
        <v>287</v>
      </c>
    </row>
    <row r="8" spans="1:18" s="14" customFormat="1" ht="24" customHeight="1" thickTop="1">
      <c r="A8"/>
      <c r="B8" s="96"/>
      <c r="C8" s="281" t="s">
        <v>82</v>
      </c>
      <c r="D8" s="281"/>
      <c r="E8" s="4" t="s">
        <v>0</v>
      </c>
      <c r="F8" s="52">
        <v>201.07051791831307</v>
      </c>
      <c r="G8" s="52">
        <v>227.63543736819099</v>
      </c>
      <c r="H8" s="158">
        <v>259.55245460415944</v>
      </c>
      <c r="I8" s="122"/>
      <c r="J8" s="108">
        <v>0.2351877955947079</v>
      </c>
      <c r="K8" s="108">
        <v>0.21578857551981001</v>
      </c>
      <c r="L8" s="183">
        <v>0.1946145972188022</v>
      </c>
      <c r="M8" s="122"/>
      <c r="N8" s="123">
        <v>32.789985134649207</v>
      </c>
      <c r="O8" s="123">
        <v>36.479899895537997</v>
      </c>
      <c r="P8" s="190">
        <v>39.092996799804112</v>
      </c>
      <c r="Q8" s="270"/>
      <c r="R8" s="200"/>
    </row>
    <row r="9" spans="1:18" s="14" customFormat="1" ht="24" customHeight="1">
      <c r="A9"/>
      <c r="B9" s="28"/>
      <c r="C9" s="97"/>
      <c r="D9" s="98" t="s">
        <v>134</v>
      </c>
      <c r="E9" s="4" t="s">
        <v>0</v>
      </c>
      <c r="F9" s="55">
        <v>179.97607790550879</v>
      </c>
      <c r="G9" s="55">
        <v>203.757861619507</v>
      </c>
      <c r="H9" s="159">
        <v>227.0471008713684</v>
      </c>
      <c r="I9" s="114"/>
      <c r="J9" s="109">
        <v>0.26980439845517229</v>
      </c>
      <c r="K9" s="109">
        <v>0.25317437178139501</v>
      </c>
      <c r="L9" s="179">
        <v>0.23071830179472291</v>
      </c>
      <c r="M9" s="114"/>
      <c r="N9" s="117">
        <v>29.34996627159239</v>
      </c>
      <c r="O9" s="117">
        <v>32.6533798109202</v>
      </c>
      <c r="P9" s="168">
        <v>34.197139847148897</v>
      </c>
      <c r="Q9" s="270"/>
      <c r="R9" s="200"/>
    </row>
    <row r="10" spans="1:18" s="14" customFormat="1" ht="24" customHeight="1">
      <c r="A10"/>
      <c r="B10" s="28"/>
      <c r="C10" s="97"/>
      <c r="D10" s="99" t="s">
        <v>135</v>
      </c>
      <c r="E10" s="4" t="s">
        <v>0</v>
      </c>
      <c r="F10" s="55">
        <v>21.09444001280432</v>
      </c>
      <c r="G10" s="55">
        <v>23.8775757486844</v>
      </c>
      <c r="H10" s="159">
        <v>32.505353732790951</v>
      </c>
      <c r="I10" s="114"/>
      <c r="J10" s="109">
        <v>0.112279300515317</v>
      </c>
      <c r="K10" s="109">
        <v>9.5476707414746106E-2</v>
      </c>
      <c r="L10" s="179">
        <v>9.2982375221072652E-2</v>
      </c>
      <c r="M10" s="114"/>
      <c r="N10" s="117">
        <v>3.4400188630568298</v>
      </c>
      <c r="O10" s="117">
        <v>3.8265200846177598</v>
      </c>
      <c r="P10" s="168">
        <v>4.8958569526551994</v>
      </c>
      <c r="Q10" s="270"/>
      <c r="R10" s="200"/>
    </row>
    <row r="11" spans="1:18" s="14" customFormat="1" ht="24" customHeight="1">
      <c r="A11"/>
      <c r="B11" s="28"/>
      <c r="C11" s="290" t="s">
        <v>85</v>
      </c>
      <c r="D11" s="290"/>
      <c r="E11" s="4" t="s">
        <v>0</v>
      </c>
      <c r="F11" s="52">
        <v>152.49174457977139</v>
      </c>
      <c r="G11" s="52">
        <v>140.652234695174</v>
      </c>
      <c r="H11" s="158">
        <v>174.00936087704559</v>
      </c>
      <c r="I11" s="122"/>
      <c r="J11" s="106">
        <v>0.35418893802575913</v>
      </c>
      <c r="K11" s="106">
        <v>0.28727899103186699</v>
      </c>
      <c r="L11" s="178">
        <v>0.26814862085653463</v>
      </c>
      <c r="M11" s="122"/>
      <c r="N11" s="125">
        <v>24.867902513479439</v>
      </c>
      <c r="O11" s="125">
        <v>22.540336869713801</v>
      </c>
      <c r="P11" s="171">
        <v>26.208757679740661</v>
      </c>
      <c r="Q11" s="270"/>
      <c r="R11" s="200"/>
    </row>
    <row r="12" spans="1:18" s="14" customFormat="1" ht="24" customHeight="1">
      <c r="A12"/>
      <c r="B12" s="28"/>
      <c r="C12" s="97"/>
      <c r="D12" s="99" t="s">
        <v>136</v>
      </c>
      <c r="E12" s="5" t="s">
        <v>0</v>
      </c>
      <c r="F12" s="55">
        <v>119.41505004333951</v>
      </c>
      <c r="G12" s="55">
        <v>120.801526672629</v>
      </c>
      <c r="H12" s="159">
        <v>146.39453436519221</v>
      </c>
      <c r="I12" s="114"/>
      <c r="J12" s="109">
        <v>0.36129642234136411</v>
      </c>
      <c r="K12" s="109">
        <v>0.29524788158137699</v>
      </c>
      <c r="L12" s="179">
        <v>0.27312777111354708</v>
      </c>
      <c r="M12" s="114"/>
      <c r="N12" s="117">
        <v>19.473853035805341</v>
      </c>
      <c r="O12" s="117">
        <v>19.3591457076949</v>
      </c>
      <c r="P12" s="168">
        <v>22.049496978078501</v>
      </c>
      <c r="Q12" s="270"/>
      <c r="R12" s="200"/>
    </row>
    <row r="13" spans="1:18" s="14" customFormat="1" ht="24" customHeight="1">
      <c r="A13"/>
      <c r="B13" s="28"/>
      <c r="C13" s="97"/>
      <c r="D13" s="99" t="s">
        <v>137</v>
      </c>
      <c r="E13" s="5" t="s">
        <v>0</v>
      </c>
      <c r="F13" s="55">
        <v>18.922967104127139</v>
      </c>
      <c r="G13" s="55">
        <v>16.7631166780819</v>
      </c>
      <c r="H13" s="159">
        <v>24.287081964802528</v>
      </c>
      <c r="I13" s="114"/>
      <c r="J13" s="109">
        <v>0.27318605299153309</v>
      </c>
      <c r="K13" s="109">
        <v>0.233310927188428</v>
      </c>
      <c r="L13" s="179">
        <v>0.23585683365461749</v>
      </c>
      <c r="M13" s="114"/>
      <c r="N13" s="117">
        <v>3.0859014860640221</v>
      </c>
      <c r="O13" s="117">
        <v>2.6863867305710598</v>
      </c>
      <c r="P13" s="168">
        <v>3.6580459968086538</v>
      </c>
      <c r="Q13" s="270"/>
      <c r="R13" s="200"/>
    </row>
    <row r="14" spans="1:18" s="14" customFormat="1" ht="24" customHeight="1">
      <c r="A14"/>
      <c r="B14" s="28"/>
      <c r="C14" s="97"/>
      <c r="D14" s="99" t="s">
        <v>138</v>
      </c>
      <c r="E14" s="5" t="s">
        <v>0</v>
      </c>
      <c r="F14" s="55">
        <v>13.79618026521255</v>
      </c>
      <c r="G14" s="55">
        <v>3.0875913444636001</v>
      </c>
      <c r="H14" s="159">
        <v>1.73463521760294</v>
      </c>
      <c r="I14" s="114"/>
      <c r="J14" s="109">
        <v>0.46187021801296912</v>
      </c>
      <c r="K14" s="109">
        <v>0.35903030666427799</v>
      </c>
      <c r="L14" s="179">
        <v>0.25348742242208111</v>
      </c>
      <c r="M14" s="114"/>
      <c r="N14" s="117">
        <v>2.249840257511261</v>
      </c>
      <c r="O14" s="117">
        <v>0.49480443144789898</v>
      </c>
      <c r="P14" s="168">
        <v>0.26126545061574807</v>
      </c>
      <c r="Q14" s="270"/>
      <c r="R14" s="200"/>
    </row>
    <row r="15" spans="1:18" s="14" customFormat="1" ht="24" customHeight="1">
      <c r="A15"/>
      <c r="B15" s="28"/>
      <c r="C15" s="290" t="s">
        <v>139</v>
      </c>
      <c r="D15" s="290"/>
      <c r="E15" s="4" t="s">
        <v>0</v>
      </c>
      <c r="F15" s="66">
        <v>259.64484050191538</v>
      </c>
      <c r="G15" s="66">
        <v>255.71469093663401</v>
      </c>
      <c r="H15" s="161">
        <v>230.37412151879502</v>
      </c>
      <c r="I15" s="122"/>
      <c r="J15" s="111">
        <v>0.41235256437629242</v>
      </c>
      <c r="K15" s="111">
        <v>0.35666960197574799</v>
      </c>
      <c r="L15" s="181">
        <v>0.32104578800540767</v>
      </c>
      <c r="M15" s="122"/>
      <c r="N15" s="81">
        <v>42.342112351871329</v>
      </c>
      <c r="O15" s="81">
        <v>40.979763234748198</v>
      </c>
      <c r="P15" s="169">
        <v>34.698245520455231</v>
      </c>
      <c r="Q15" s="270"/>
      <c r="R15" s="200"/>
    </row>
    <row r="16" spans="1:18" s="14" customFormat="1" ht="24" customHeight="1" thickBot="1">
      <c r="A16"/>
      <c r="B16" s="308" t="s">
        <v>140</v>
      </c>
      <c r="C16" s="308"/>
      <c r="D16" s="308"/>
      <c r="E16" s="48" t="s">
        <v>0</v>
      </c>
      <c r="F16" s="61">
        <v>613.20710299999996</v>
      </c>
      <c r="G16" s="61">
        <v>624.00236299999995</v>
      </c>
      <c r="H16" s="162">
        <v>663.93593699999997</v>
      </c>
      <c r="I16" s="120"/>
      <c r="J16" s="112">
        <v>0.32018901700011421</v>
      </c>
      <c r="K16" s="112">
        <v>0.27592983557304801</v>
      </c>
      <c r="L16" s="182">
        <v>0.24588608305966059</v>
      </c>
      <c r="M16" s="120"/>
      <c r="N16" s="121">
        <v>100</v>
      </c>
      <c r="O16" s="121">
        <v>100</v>
      </c>
      <c r="P16" s="172">
        <v>100</v>
      </c>
      <c r="Q16" s="270"/>
      <c r="R16" s="200"/>
    </row>
    <row r="17" spans="4:4" ht="9" customHeight="1" thickTop="1"/>
    <row r="18" spans="4:4" ht="16.5" customHeight="1">
      <c r="D18" s="12" t="s">
        <v>141</v>
      </c>
    </row>
    <row r="19" spans="4:4" ht="16.5" customHeight="1">
      <c r="D19" s="12" t="s">
        <v>230</v>
      </c>
    </row>
    <row r="20" spans="4:4" ht="16.5" customHeight="1">
      <c r="D20" s="100" t="s">
        <v>322</v>
      </c>
    </row>
    <row r="21" spans="4:4">
      <c r="D21" s="100" t="s">
        <v>321</v>
      </c>
    </row>
  </sheetData>
  <mergeCells count="11">
    <mergeCell ref="B3:P3"/>
    <mergeCell ref="B4:L4"/>
    <mergeCell ref="B6:D6"/>
    <mergeCell ref="F6:H6"/>
    <mergeCell ref="J6:L6"/>
    <mergeCell ref="N6:P6"/>
    <mergeCell ref="B7:D7"/>
    <mergeCell ref="C8:D8"/>
    <mergeCell ref="C11:D11"/>
    <mergeCell ref="C15:D15"/>
    <mergeCell ref="B16:D16"/>
  </mergeCells>
  <phoneticPr fontId="1" type="noConversion"/>
  <hyperlinks>
    <hyperlink ref="A1" location="목차!A1" display="(목차로 이동)" xr:uid="{00000000-0004-0000-1400-000000000000}"/>
  </hyperlinks>
  <pageMargins left="0.7" right="0.7" top="0.75" bottom="0.75" header="0.3" footer="0.3"/>
  <pageSetup paperSize="9" scale="68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5" tint="0.79998168889431442"/>
    <pageSetUpPr fitToPage="1"/>
  </sheetPr>
  <dimension ref="A1:P50"/>
  <sheetViews>
    <sheetView view="pageBreakPreview" topLeftCell="A19" zoomScaleNormal="100" zoomScaleSheetLayoutView="100" workbookViewId="0">
      <selection activeCell="S52" sqref="S52"/>
    </sheetView>
  </sheetViews>
  <sheetFormatPr defaultRowHeight="16.5"/>
  <cols>
    <col min="1" max="1" width="2.625" customWidth="1"/>
    <col min="2" max="2" width="2.125" customWidth="1"/>
    <col min="3" max="3" width="2.125" style="7" customWidth="1"/>
    <col min="4" max="4" width="26.625" customWidth="1"/>
    <col min="5" max="5" width="1.625" customWidth="1"/>
    <col min="6" max="7" width="9.625" style="23" bestFit="1" customWidth="1"/>
    <col min="8" max="8" width="9.625" bestFit="1" customWidth="1"/>
    <col min="9" max="9" width="1.625" customWidth="1"/>
    <col min="10" max="11" width="9.25" style="23" bestFit="1" customWidth="1"/>
    <col min="12" max="12" width="9.25" bestFit="1" customWidth="1"/>
    <col min="13" max="13" width="1.625" customWidth="1"/>
    <col min="14" max="14" width="9.25" style="23" bestFit="1" customWidth="1"/>
    <col min="15" max="16" width="9.25" bestFit="1" customWidth="1"/>
  </cols>
  <sheetData>
    <row r="1" spans="1:16" s="14" customFormat="1" ht="16.5" customHeight="1">
      <c r="A1" s="32" t="s">
        <v>142</v>
      </c>
      <c r="B1"/>
      <c r="C1" s="7"/>
      <c r="D1" s="7"/>
      <c r="E1"/>
      <c r="I1"/>
      <c r="M1"/>
    </row>
    <row r="2" spans="1:16" s="14" customFormat="1" ht="6" customHeight="1">
      <c r="A2" s="32"/>
      <c r="B2"/>
      <c r="C2" s="7"/>
      <c r="D2" s="7"/>
      <c r="E2"/>
      <c r="I2"/>
      <c r="M2"/>
    </row>
    <row r="3" spans="1:16" s="14" customFormat="1" ht="18.75" customHeight="1">
      <c r="B3" s="278" t="s">
        <v>143</v>
      </c>
      <c r="C3" s="278"/>
      <c r="D3" s="278"/>
      <c r="E3" s="278"/>
      <c r="F3" s="278"/>
      <c r="G3" s="278"/>
      <c r="H3" s="278"/>
      <c r="I3" s="278"/>
      <c r="J3" s="278"/>
      <c r="K3" s="278"/>
      <c r="L3" s="278"/>
      <c r="M3" s="278"/>
      <c r="N3" s="278"/>
      <c r="O3" s="278"/>
      <c r="P3" s="278"/>
    </row>
    <row r="4" spans="1:16" s="14" customFormat="1" ht="18.75" customHeight="1">
      <c r="A4"/>
      <c r="B4" s="304"/>
      <c r="C4" s="304"/>
      <c r="D4" s="304"/>
      <c r="E4" s="304"/>
      <c r="F4" s="304"/>
      <c r="G4" s="304"/>
      <c r="H4" s="304"/>
      <c r="I4" s="304"/>
      <c r="J4" s="304"/>
      <c r="K4" s="304"/>
      <c r="L4" s="304"/>
      <c r="M4" s="72"/>
      <c r="N4" s="268"/>
    </row>
    <row r="5" spans="1:16" ht="8.25" customHeight="1" thickBot="1">
      <c r="C5"/>
    </row>
    <row r="6" spans="1:16" s="14" customFormat="1" ht="18" customHeight="1" thickTop="1">
      <c r="A6"/>
      <c r="B6" s="306" t="s">
        <v>0</v>
      </c>
      <c r="C6" s="306"/>
      <c r="D6" s="306"/>
      <c r="E6" s="131"/>
      <c r="F6" s="307" t="s">
        <v>274</v>
      </c>
      <c r="G6" s="307"/>
      <c r="H6" s="307"/>
      <c r="I6" s="170"/>
      <c r="J6" s="307" t="s">
        <v>275</v>
      </c>
      <c r="K6" s="307"/>
      <c r="L6" s="307"/>
      <c r="M6" s="170"/>
      <c r="N6" s="307" t="s">
        <v>271</v>
      </c>
      <c r="O6" s="307"/>
      <c r="P6" s="307"/>
    </row>
    <row r="7" spans="1:16" s="14" customFormat="1" ht="18" customHeight="1" thickBot="1">
      <c r="A7"/>
      <c r="B7" s="305" t="s">
        <v>0</v>
      </c>
      <c r="C7" s="305"/>
      <c r="D7" s="305"/>
      <c r="E7" s="26" t="s">
        <v>0</v>
      </c>
      <c r="F7" s="155" t="s">
        <v>293</v>
      </c>
      <c r="G7" s="155" t="s">
        <v>294</v>
      </c>
      <c r="H7" s="156" t="s">
        <v>287</v>
      </c>
      <c r="I7" s="189" t="s">
        <v>0</v>
      </c>
      <c r="J7" s="155" t="s">
        <v>293</v>
      </c>
      <c r="K7" s="155" t="s">
        <v>294</v>
      </c>
      <c r="L7" s="156" t="s">
        <v>287</v>
      </c>
      <c r="M7" s="189" t="s">
        <v>0</v>
      </c>
      <c r="N7" s="155" t="s">
        <v>293</v>
      </c>
      <c r="O7" s="155" t="s">
        <v>294</v>
      </c>
      <c r="P7" s="156" t="s">
        <v>287</v>
      </c>
    </row>
    <row r="8" spans="1:16" s="14" customFormat="1" ht="16.5" customHeight="1" thickTop="1">
      <c r="A8"/>
      <c r="B8" s="96"/>
      <c r="C8" s="281" t="s">
        <v>82</v>
      </c>
      <c r="D8" s="281"/>
      <c r="E8" s="26" t="s">
        <v>0</v>
      </c>
      <c r="F8" s="57">
        <v>1318.151726011544</v>
      </c>
      <c r="G8" s="57">
        <v>1636.94958579946</v>
      </c>
      <c r="H8" s="160">
        <v>2108.9061579270301</v>
      </c>
      <c r="I8" s="133"/>
      <c r="J8" s="115">
        <v>1.6610292682849459</v>
      </c>
      <c r="K8" s="115">
        <v>1.6868812992472799</v>
      </c>
      <c r="L8" s="185">
        <v>1.701680708330761</v>
      </c>
      <c r="M8" s="133"/>
      <c r="N8" s="116">
        <v>40.963942766585568</v>
      </c>
      <c r="O8" s="116">
        <v>42.700484605154898</v>
      </c>
      <c r="P8" s="187">
        <v>46.275862855362448</v>
      </c>
    </row>
    <row r="9" spans="1:16" s="14" customFormat="1" ht="16.5" customHeight="1">
      <c r="A9"/>
      <c r="B9" s="96"/>
      <c r="C9" s="290" t="s">
        <v>85</v>
      </c>
      <c r="D9" s="290"/>
      <c r="E9" s="26" t="s">
        <v>0</v>
      </c>
      <c r="F9" s="57">
        <v>717.33444477966316</v>
      </c>
      <c r="G9" s="57">
        <v>832.73277362443196</v>
      </c>
      <c r="H9" s="160">
        <v>1087.6904468910961</v>
      </c>
      <c r="I9" s="133"/>
      <c r="J9" s="110">
        <v>1.9708386084877221</v>
      </c>
      <c r="K9" s="110">
        <v>1.9389872296030299</v>
      </c>
      <c r="L9" s="180">
        <v>1.907451484055001</v>
      </c>
      <c r="M9" s="133"/>
      <c r="N9" s="134">
        <v>22.292461907527951</v>
      </c>
      <c r="O9" s="134">
        <v>21.722167431926199</v>
      </c>
      <c r="P9" s="191">
        <v>23.867261120284461</v>
      </c>
    </row>
    <row r="10" spans="1:16" s="14" customFormat="1" ht="16.5" customHeight="1">
      <c r="A10"/>
      <c r="B10" s="96"/>
      <c r="C10" s="290" t="s">
        <v>144</v>
      </c>
      <c r="D10" s="290"/>
      <c r="E10" s="26" t="s">
        <v>0</v>
      </c>
      <c r="F10" s="135">
        <v>1182.347946208793</v>
      </c>
      <c r="G10" s="135">
        <v>1363.87972057611</v>
      </c>
      <c r="H10" s="184">
        <v>1360.652094181874</v>
      </c>
      <c r="I10" s="133"/>
      <c r="J10" s="118">
        <v>1.87773501164812</v>
      </c>
      <c r="K10" s="118">
        <v>1.9079903255074</v>
      </c>
      <c r="L10" s="186">
        <v>1.899462933921265</v>
      </c>
      <c r="M10" s="133"/>
      <c r="N10" s="119">
        <v>36.743595325886503</v>
      </c>
      <c r="O10" s="119">
        <v>35.5773479629189</v>
      </c>
      <c r="P10" s="188">
        <v>29.856876024353081</v>
      </c>
    </row>
    <row r="11" spans="1:16" s="14" customFormat="1" ht="16.5" customHeight="1" thickBot="1">
      <c r="A11"/>
      <c r="B11" s="308" t="s">
        <v>145</v>
      </c>
      <c r="C11" s="308"/>
      <c r="D11" s="308"/>
      <c r="E11" s="48" t="s">
        <v>0</v>
      </c>
      <c r="F11" s="61">
        <v>3217.8341169999999</v>
      </c>
      <c r="G11" s="61">
        <v>3833.5620800000002</v>
      </c>
      <c r="H11" s="162">
        <v>4557.2486989999998</v>
      </c>
      <c r="I11" s="120"/>
      <c r="J11" s="112">
        <v>1.8004724072730609</v>
      </c>
      <c r="K11" s="112">
        <v>1.81282189938889</v>
      </c>
      <c r="L11" s="182">
        <v>1.8042255610125131</v>
      </c>
      <c r="M11" s="120"/>
      <c r="N11" s="121">
        <v>100</v>
      </c>
      <c r="O11" s="121">
        <v>100</v>
      </c>
      <c r="P11" s="172">
        <v>100</v>
      </c>
    </row>
    <row r="12" spans="1:16" ht="9" customHeight="1" thickTop="1"/>
    <row r="13" spans="1:16" ht="16.5" customHeight="1">
      <c r="D13" s="12" t="s">
        <v>146</v>
      </c>
    </row>
    <row r="14" spans="1:16" ht="16.5" customHeight="1">
      <c r="D14" s="12" t="s">
        <v>227</v>
      </c>
    </row>
    <row r="15" spans="1:16" ht="16.5" customHeight="1">
      <c r="D15" s="100" t="s">
        <v>228</v>
      </c>
    </row>
    <row r="16" spans="1:16" ht="18" customHeight="1">
      <c r="D16" s="100"/>
    </row>
    <row r="17" spans="1:16" ht="18" customHeight="1">
      <c r="D17" s="100"/>
    </row>
    <row r="18" spans="1:16" ht="18" customHeight="1">
      <c r="D18" s="100"/>
    </row>
    <row r="19" spans="1:16" s="14" customFormat="1" ht="18.75" customHeight="1">
      <c r="B19" s="278" t="s">
        <v>100</v>
      </c>
      <c r="C19" s="278"/>
      <c r="D19" s="278"/>
      <c r="E19" s="278"/>
      <c r="F19" s="278"/>
      <c r="G19" s="278"/>
      <c r="H19" s="278"/>
      <c r="I19" s="278"/>
      <c r="J19" s="278"/>
      <c r="K19" s="278"/>
      <c r="L19" s="278"/>
      <c r="M19" s="278"/>
      <c r="N19" s="278"/>
      <c r="O19" s="278"/>
      <c r="P19" s="278"/>
    </row>
    <row r="20" spans="1:16" s="14" customFormat="1" ht="18.75" customHeight="1">
      <c r="A20"/>
      <c r="B20" s="304"/>
      <c r="C20" s="304"/>
      <c r="D20" s="304"/>
      <c r="E20" s="304"/>
      <c r="F20" s="304"/>
      <c r="G20" s="304"/>
      <c r="H20" s="304"/>
      <c r="I20" s="304"/>
      <c r="J20" s="304"/>
      <c r="K20" s="304"/>
      <c r="L20" s="304"/>
      <c r="M20" s="72"/>
      <c r="N20" s="268"/>
    </row>
    <row r="21" spans="1:16" ht="8.25" customHeight="1" thickBot="1">
      <c r="C21"/>
    </row>
    <row r="22" spans="1:16" s="14" customFormat="1" ht="18" customHeight="1" thickTop="1">
      <c r="A22"/>
      <c r="B22" s="306" t="s">
        <v>0</v>
      </c>
      <c r="C22" s="306"/>
      <c r="D22" s="306"/>
      <c r="E22" s="131"/>
      <c r="F22" s="307" t="s">
        <v>272</v>
      </c>
      <c r="G22" s="307"/>
      <c r="H22" s="307"/>
      <c r="I22" s="170"/>
      <c r="J22" s="307" t="s">
        <v>273</v>
      </c>
      <c r="K22" s="307"/>
      <c r="L22" s="307"/>
      <c r="M22" s="170"/>
      <c r="N22" s="307" t="s">
        <v>120</v>
      </c>
      <c r="O22" s="307"/>
      <c r="P22" s="307"/>
    </row>
    <row r="23" spans="1:16" s="14" customFormat="1" ht="18" customHeight="1" thickBot="1">
      <c r="A23"/>
      <c r="B23" s="305" t="s">
        <v>0</v>
      </c>
      <c r="C23" s="305"/>
      <c r="D23" s="305"/>
      <c r="E23" s="26" t="s">
        <v>0</v>
      </c>
      <c r="F23" s="155" t="s">
        <v>293</v>
      </c>
      <c r="G23" s="155" t="s">
        <v>294</v>
      </c>
      <c r="H23" s="156" t="s">
        <v>287</v>
      </c>
      <c r="I23" s="189" t="s">
        <v>0</v>
      </c>
      <c r="J23" s="155" t="s">
        <v>293</v>
      </c>
      <c r="K23" s="155" t="s">
        <v>294</v>
      </c>
      <c r="L23" s="156" t="s">
        <v>287</v>
      </c>
      <c r="M23" s="189" t="s">
        <v>0</v>
      </c>
      <c r="N23" s="155" t="s">
        <v>293</v>
      </c>
      <c r="O23" s="155" t="s">
        <v>294</v>
      </c>
      <c r="P23" s="156" t="s">
        <v>287</v>
      </c>
    </row>
    <row r="24" spans="1:16" s="14" customFormat="1" ht="16.5" customHeight="1" thickTop="1">
      <c r="A24"/>
      <c r="B24" s="96"/>
      <c r="C24" s="281" t="s">
        <v>82</v>
      </c>
      <c r="D24" s="281"/>
      <c r="E24" s="26" t="s">
        <v>0</v>
      </c>
      <c r="F24" s="57">
        <v>653.86550208168694</v>
      </c>
      <c r="G24" s="57">
        <v>827.26488263180897</v>
      </c>
      <c r="H24" s="160">
        <v>1074.1216188105971</v>
      </c>
      <c r="I24" s="133"/>
      <c r="J24" s="115">
        <v>0.82394895446960237</v>
      </c>
      <c r="K24" s="115">
        <v>0.85249886260489505</v>
      </c>
      <c r="L24" s="185">
        <v>0.86671099879153657</v>
      </c>
      <c r="M24" s="133"/>
      <c r="N24" s="116">
        <v>50.222635816325898</v>
      </c>
      <c r="O24" s="116">
        <v>50.521514864459299</v>
      </c>
      <c r="P24" s="187">
        <v>52.750221865964782</v>
      </c>
    </row>
    <row r="25" spans="1:16" s="14" customFormat="1" ht="16.5" customHeight="1">
      <c r="A25"/>
      <c r="B25" s="96"/>
      <c r="C25" s="290" t="s">
        <v>85</v>
      </c>
      <c r="D25" s="290"/>
      <c r="E25" s="26" t="s">
        <v>0</v>
      </c>
      <c r="F25" s="57">
        <v>278.0461074202284</v>
      </c>
      <c r="G25" s="57">
        <v>348.94929930482499</v>
      </c>
      <c r="H25" s="160">
        <v>474.91941763230903</v>
      </c>
      <c r="I25" s="133"/>
      <c r="J25" s="110">
        <v>0.7639170367900423</v>
      </c>
      <c r="K25" s="110">
        <v>0.81251543899980705</v>
      </c>
      <c r="L25" s="180">
        <v>0.83285256603205449</v>
      </c>
      <c r="M25" s="133"/>
      <c r="N25" s="134">
        <v>21.356392635268008</v>
      </c>
      <c r="O25" s="134">
        <v>21.310522883173999</v>
      </c>
      <c r="P25" s="191">
        <v>23.323340867396311</v>
      </c>
    </row>
    <row r="26" spans="1:16" s="14" customFormat="1" ht="16.5" customHeight="1">
      <c r="A26"/>
      <c r="B26" s="96"/>
      <c r="C26" s="290" t="s">
        <v>91</v>
      </c>
      <c r="D26" s="290"/>
      <c r="E26" s="26" t="s">
        <v>0</v>
      </c>
      <c r="F26" s="135">
        <v>370.02225249808492</v>
      </c>
      <c r="G26" s="135">
        <v>461.23648606336599</v>
      </c>
      <c r="H26" s="184">
        <v>487.19991348120499</v>
      </c>
      <c r="I26" s="133"/>
      <c r="J26" s="118">
        <v>0.58764743562370803</v>
      </c>
      <c r="K26" s="118">
        <v>0.64524366768075403</v>
      </c>
      <c r="L26" s="186">
        <v>0.68012843328891304</v>
      </c>
      <c r="M26" s="133"/>
      <c r="N26" s="119">
        <v>28.420971548406111</v>
      </c>
      <c r="O26" s="119">
        <v>28.167962252366699</v>
      </c>
      <c r="P26" s="188">
        <v>23.926437266638931</v>
      </c>
    </row>
    <row r="27" spans="1:16" s="14" customFormat="1" ht="16.5" customHeight="1" thickBot="1">
      <c r="A27"/>
      <c r="B27" s="308" t="s">
        <v>92</v>
      </c>
      <c r="C27" s="308"/>
      <c r="D27" s="308"/>
      <c r="E27" s="48" t="s">
        <v>0</v>
      </c>
      <c r="F27" s="61">
        <v>1301.9338620000001</v>
      </c>
      <c r="G27" s="61">
        <v>1637.450668</v>
      </c>
      <c r="H27" s="162">
        <v>2036.2409499241098</v>
      </c>
      <c r="I27" s="120"/>
      <c r="J27" s="112">
        <v>0.7284701166668166</v>
      </c>
      <c r="K27" s="112">
        <v>0.77432068874162197</v>
      </c>
      <c r="L27" s="182">
        <v>0.80615265165584704</v>
      </c>
      <c r="M27" s="120"/>
      <c r="N27" s="121">
        <v>100</v>
      </c>
      <c r="O27" s="121">
        <v>100</v>
      </c>
      <c r="P27" s="172">
        <v>100</v>
      </c>
    </row>
    <row r="28" spans="1:16" ht="9" customHeight="1" thickTop="1"/>
    <row r="29" spans="1:16" ht="16.5" customHeight="1">
      <c r="D29" s="12" t="s">
        <v>124</v>
      </c>
    </row>
    <row r="30" spans="1:16" ht="16.5" customHeight="1">
      <c r="D30" s="12" t="s">
        <v>229</v>
      </c>
    </row>
    <row r="31" spans="1:16" ht="16.5" customHeight="1">
      <c r="D31" s="100" t="s">
        <v>320</v>
      </c>
    </row>
    <row r="32" spans="1:16">
      <c r="D32" s="100" t="s">
        <v>319</v>
      </c>
    </row>
    <row r="35" spans="1:16" s="14" customFormat="1" ht="18.75" customHeight="1">
      <c r="B35" s="278" t="s">
        <v>147</v>
      </c>
      <c r="C35" s="278"/>
      <c r="D35" s="278"/>
      <c r="E35" s="278"/>
      <c r="F35" s="278"/>
      <c r="G35" s="278"/>
      <c r="H35" s="278"/>
      <c r="I35" s="278"/>
      <c r="J35" s="278"/>
      <c r="K35" s="278"/>
      <c r="L35" s="278"/>
      <c r="M35" s="278"/>
      <c r="N35" s="278"/>
      <c r="O35" s="278"/>
      <c r="P35" s="278"/>
    </row>
    <row r="36" spans="1:16" s="14" customFormat="1" ht="18.75" customHeight="1">
      <c r="A36"/>
      <c r="B36" s="304"/>
      <c r="C36" s="304"/>
      <c r="D36" s="304"/>
      <c r="E36" s="304"/>
      <c r="F36" s="304"/>
      <c r="G36" s="304"/>
      <c r="H36" s="304"/>
      <c r="I36" s="304"/>
      <c r="J36" s="304"/>
      <c r="K36" s="304"/>
      <c r="L36" s="304"/>
      <c r="M36" s="72"/>
      <c r="N36" s="268"/>
    </row>
    <row r="37" spans="1:16" ht="8.25" customHeight="1" thickBot="1">
      <c r="C37"/>
    </row>
    <row r="38" spans="1:16" s="14" customFormat="1" ht="18" customHeight="1" thickTop="1">
      <c r="A38"/>
      <c r="B38" s="306" t="s">
        <v>0</v>
      </c>
      <c r="C38" s="306"/>
      <c r="D38" s="306"/>
      <c r="E38" s="131"/>
      <c r="F38" s="307" t="s">
        <v>267</v>
      </c>
      <c r="G38" s="307"/>
      <c r="H38" s="307"/>
      <c r="I38" s="170"/>
      <c r="J38" s="307" t="s">
        <v>268</v>
      </c>
      <c r="K38" s="307"/>
      <c r="L38" s="307"/>
      <c r="M38" s="170"/>
      <c r="N38" s="307" t="s">
        <v>123</v>
      </c>
      <c r="O38" s="307"/>
      <c r="P38" s="307"/>
    </row>
    <row r="39" spans="1:16" s="14" customFormat="1" ht="18" customHeight="1" thickBot="1">
      <c r="A39"/>
      <c r="B39" s="305" t="s">
        <v>0</v>
      </c>
      <c r="C39" s="305"/>
      <c r="D39" s="305"/>
      <c r="E39" s="26" t="s">
        <v>0</v>
      </c>
      <c r="F39" s="155" t="s">
        <v>293</v>
      </c>
      <c r="G39" s="155" t="s">
        <v>294</v>
      </c>
      <c r="H39" s="156" t="s">
        <v>287</v>
      </c>
      <c r="I39" s="189" t="s">
        <v>0</v>
      </c>
      <c r="J39" s="155" t="s">
        <v>293</v>
      </c>
      <c r="K39" s="155" t="s">
        <v>294</v>
      </c>
      <c r="L39" s="156" t="s">
        <v>287</v>
      </c>
      <c r="M39" s="189" t="s">
        <v>0</v>
      </c>
      <c r="N39" s="155" t="s">
        <v>293</v>
      </c>
      <c r="O39" s="155" t="s">
        <v>294</v>
      </c>
      <c r="P39" s="156" t="s">
        <v>287</v>
      </c>
    </row>
    <row r="40" spans="1:16" s="14" customFormat="1" ht="16.5" customHeight="1" thickTop="1">
      <c r="A40"/>
      <c r="B40" s="96"/>
      <c r="C40" s="281" t="s">
        <v>276</v>
      </c>
      <c r="D40" s="281"/>
      <c r="E40" s="26" t="s">
        <v>0</v>
      </c>
      <c r="F40" s="57">
        <v>201.07051791831307</v>
      </c>
      <c r="G40" s="57">
        <v>227.63543736819099</v>
      </c>
      <c r="H40" s="160">
        <v>259.55245460415944</v>
      </c>
      <c r="I40" s="133"/>
      <c r="J40" s="115">
        <v>0.2351877955947079</v>
      </c>
      <c r="K40" s="115">
        <v>0.21578857551981001</v>
      </c>
      <c r="L40" s="185">
        <v>0.1946145972188022</v>
      </c>
      <c r="M40" s="133"/>
      <c r="N40" s="116">
        <v>32.789985134649207</v>
      </c>
      <c r="O40" s="116">
        <v>36.479899895537997</v>
      </c>
      <c r="P40" s="187">
        <v>39.092996799804112</v>
      </c>
    </row>
    <row r="41" spans="1:16" s="14" customFormat="1" ht="16.5" customHeight="1">
      <c r="A41"/>
      <c r="B41" s="96"/>
      <c r="C41" s="290" t="s">
        <v>85</v>
      </c>
      <c r="D41" s="290"/>
      <c r="E41" s="26" t="s">
        <v>0</v>
      </c>
      <c r="F41" s="57">
        <v>152.49174457977139</v>
      </c>
      <c r="G41" s="57">
        <v>140.652234695174</v>
      </c>
      <c r="H41" s="160">
        <v>174.00936087704559</v>
      </c>
      <c r="I41" s="133"/>
      <c r="J41" s="110">
        <v>0.35418893802575913</v>
      </c>
      <c r="K41" s="110">
        <v>0.28727899103186699</v>
      </c>
      <c r="L41" s="180">
        <v>0.26814862085653463</v>
      </c>
      <c r="M41" s="133"/>
      <c r="N41" s="134">
        <v>24.867902513479439</v>
      </c>
      <c r="O41" s="134">
        <v>22.540336869713801</v>
      </c>
      <c r="P41" s="191">
        <v>26.208757679740661</v>
      </c>
    </row>
    <row r="42" spans="1:16" s="14" customFormat="1" ht="16.5" customHeight="1">
      <c r="A42"/>
      <c r="B42" s="96"/>
      <c r="C42" s="290" t="s">
        <v>148</v>
      </c>
      <c r="D42" s="290"/>
      <c r="E42" s="26" t="s">
        <v>0</v>
      </c>
      <c r="F42" s="135">
        <v>259.64484050191538</v>
      </c>
      <c r="G42" s="135">
        <v>255.71469093663401</v>
      </c>
      <c r="H42" s="184">
        <v>230.37412151879502</v>
      </c>
      <c r="I42" s="133"/>
      <c r="J42" s="118">
        <v>0.41235256437629242</v>
      </c>
      <c r="K42" s="118">
        <v>0.35666960197574799</v>
      </c>
      <c r="L42" s="186">
        <v>0.32104578800540767</v>
      </c>
      <c r="M42" s="133"/>
      <c r="N42" s="119">
        <v>42.342112351871329</v>
      </c>
      <c r="O42" s="119">
        <v>40.979763234748198</v>
      </c>
      <c r="P42" s="188">
        <v>34.698245520455231</v>
      </c>
    </row>
    <row r="43" spans="1:16" s="14" customFormat="1" ht="16.5" customHeight="1" thickBot="1">
      <c r="A43"/>
      <c r="B43" s="308" t="s">
        <v>149</v>
      </c>
      <c r="C43" s="308"/>
      <c r="D43" s="308"/>
      <c r="E43" s="48" t="s">
        <v>0</v>
      </c>
      <c r="F43" s="61">
        <v>613.20710299999996</v>
      </c>
      <c r="G43" s="61">
        <v>624.00236299999995</v>
      </c>
      <c r="H43" s="162">
        <v>663.93593699999997</v>
      </c>
      <c r="I43" s="120"/>
      <c r="J43" s="112">
        <v>0.32018901700011421</v>
      </c>
      <c r="K43" s="112">
        <v>0.27592983557304801</v>
      </c>
      <c r="L43" s="182">
        <v>0.24588608305966059</v>
      </c>
      <c r="M43" s="120"/>
      <c r="N43" s="121">
        <v>100</v>
      </c>
      <c r="O43" s="121">
        <v>100</v>
      </c>
      <c r="P43" s="172">
        <v>100</v>
      </c>
    </row>
    <row r="44" spans="1:16" ht="9" customHeight="1" thickTop="1"/>
    <row r="45" spans="1:16" ht="16.5" customHeight="1">
      <c r="D45" s="12" t="s">
        <v>150</v>
      </c>
    </row>
    <row r="46" spans="1:16" ht="16.5" customHeight="1">
      <c r="D46" s="12" t="s">
        <v>230</v>
      </c>
    </row>
    <row r="47" spans="1:16" ht="16.5" customHeight="1">
      <c r="D47" s="100" t="s">
        <v>322</v>
      </c>
    </row>
    <row r="48" spans="1:16">
      <c r="D48" s="100" t="s">
        <v>321</v>
      </c>
    </row>
    <row r="50" spans="4:4">
      <c r="D50" s="272"/>
    </row>
  </sheetData>
  <mergeCells count="33">
    <mergeCell ref="B3:P3"/>
    <mergeCell ref="B4:L4"/>
    <mergeCell ref="B6:D6"/>
    <mergeCell ref="F6:H6"/>
    <mergeCell ref="J6:L6"/>
    <mergeCell ref="N6:P6"/>
    <mergeCell ref="B23:D23"/>
    <mergeCell ref="B7:D7"/>
    <mergeCell ref="C8:D8"/>
    <mergeCell ref="C9:D9"/>
    <mergeCell ref="C10:D10"/>
    <mergeCell ref="B11:D11"/>
    <mergeCell ref="B19:P19"/>
    <mergeCell ref="B20:L20"/>
    <mergeCell ref="B22:D22"/>
    <mergeCell ref="F22:H22"/>
    <mergeCell ref="J22:L22"/>
    <mergeCell ref="N22:P22"/>
    <mergeCell ref="J38:L38"/>
    <mergeCell ref="N38:P38"/>
    <mergeCell ref="B39:D39"/>
    <mergeCell ref="C40:D40"/>
    <mergeCell ref="C24:D24"/>
    <mergeCell ref="C25:D25"/>
    <mergeCell ref="C26:D26"/>
    <mergeCell ref="B27:D27"/>
    <mergeCell ref="B35:P35"/>
    <mergeCell ref="B36:L36"/>
    <mergeCell ref="C41:D41"/>
    <mergeCell ref="C42:D42"/>
    <mergeCell ref="B43:D43"/>
    <mergeCell ref="B38:D38"/>
    <mergeCell ref="F38:H38"/>
  </mergeCells>
  <phoneticPr fontId="1" type="noConversion"/>
  <hyperlinks>
    <hyperlink ref="A1" location="목차!A1" display="(목차로 이동)" xr:uid="{00000000-0004-0000-1500-000000000000}"/>
  </hyperlinks>
  <pageMargins left="0.7" right="0.7" top="0.75" bottom="0.75" header="0.3" footer="0.3"/>
  <pageSetup paperSize="9" scale="6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22</vt:i4>
      </vt:variant>
      <vt:variant>
        <vt:lpstr>이름 지정된 범위</vt:lpstr>
      </vt:variant>
      <vt:variant>
        <vt:i4>22</vt:i4>
      </vt:variant>
    </vt:vector>
  </HeadingPairs>
  <TitlesOfParts>
    <vt:vector size="44" baseType="lpstr">
      <vt:lpstr>목차</vt:lpstr>
      <vt:lpstr>1.산업별 총산출 및 구성</vt:lpstr>
      <vt:lpstr>2.산업별 부가가치 및 구성</vt:lpstr>
      <vt:lpstr>3.산업별 중간투입률</vt:lpstr>
      <vt:lpstr>4.산업별 국산화율</vt:lpstr>
      <vt:lpstr>5.산업별 수입투입률</vt:lpstr>
      <vt:lpstr>6.산업별 부가가치율</vt:lpstr>
      <vt:lpstr>7.민간소비지출의 구성</vt:lpstr>
      <vt:lpstr>8.고정자본형성의 구성</vt:lpstr>
      <vt:lpstr>9.품목별 수출률 및 구성</vt:lpstr>
      <vt:lpstr>10.품목별 수입률 및 구성</vt:lpstr>
      <vt:lpstr>11.품목별 생산유발계수</vt:lpstr>
      <vt:lpstr>12.품목별 부가가치유발계수</vt:lpstr>
      <vt:lpstr>13.품목별 수입유발계수</vt:lpstr>
      <vt:lpstr>14.영향력계수 및 감응도계수 추이</vt:lpstr>
      <vt:lpstr>15.최종수요항목별 생산유발계수 및 생산유발구성비</vt:lpstr>
      <vt:lpstr>15(상세)최종수요항목별 생산유발계수 및 생산유발구성비</vt:lpstr>
      <vt:lpstr>16.최종수요항목별 VA유발계수 및 VA유발구성비</vt:lpstr>
      <vt:lpstr>16(상세)최종수요항목별 VA유발계수 및 VA유발구성비</vt:lpstr>
      <vt:lpstr>17.최종수요항목별 수입유발계수 및 수입유발구성비</vt:lpstr>
      <vt:lpstr>17(상세)최종수요항목별 수입유발계수 및 수입유발구성비</vt:lpstr>
      <vt:lpstr>18. (프린트용)최종수요 항목별 분석</vt:lpstr>
      <vt:lpstr>'1.산업별 총산출 및 구성'!Print_Area</vt:lpstr>
      <vt:lpstr>'10.품목별 수입률 및 구성'!Print_Area</vt:lpstr>
      <vt:lpstr>'11.품목별 생산유발계수'!Print_Area</vt:lpstr>
      <vt:lpstr>'12.품목별 부가가치유발계수'!Print_Area</vt:lpstr>
      <vt:lpstr>'13.품목별 수입유발계수'!Print_Area</vt:lpstr>
      <vt:lpstr>'14.영향력계수 및 감응도계수 추이'!Print_Area</vt:lpstr>
      <vt:lpstr>'15(상세)최종수요항목별 생산유발계수 및 생산유발구성비'!Print_Area</vt:lpstr>
      <vt:lpstr>'15.최종수요항목별 생산유발계수 및 생산유발구성비'!Print_Area</vt:lpstr>
      <vt:lpstr>'16(상세)최종수요항목별 VA유발계수 및 VA유발구성비'!Print_Area</vt:lpstr>
      <vt:lpstr>'16.최종수요항목별 VA유발계수 및 VA유발구성비'!Print_Area</vt:lpstr>
      <vt:lpstr>'17(상세)최종수요항목별 수입유발계수 및 수입유발구성비'!Print_Area</vt:lpstr>
      <vt:lpstr>'17.최종수요항목별 수입유발계수 및 수입유발구성비'!Print_Area</vt:lpstr>
      <vt:lpstr>'18. (프린트용)최종수요 항목별 분석'!Print_Area</vt:lpstr>
      <vt:lpstr>'2.산업별 부가가치 및 구성'!Print_Area</vt:lpstr>
      <vt:lpstr>'3.산업별 중간투입률'!Print_Area</vt:lpstr>
      <vt:lpstr>'4.산업별 국산화율'!Print_Area</vt:lpstr>
      <vt:lpstr>'5.산업별 수입투입률'!Print_Area</vt:lpstr>
      <vt:lpstr>'6.산업별 부가가치율'!Print_Area</vt:lpstr>
      <vt:lpstr>'7.민간소비지출의 구성'!Print_Area</vt:lpstr>
      <vt:lpstr>'8.고정자본형성의 구성'!Print_Area</vt:lpstr>
      <vt:lpstr>'9.품목별 수출률 및 구성'!Print_Area</vt:lpstr>
      <vt:lpstr>목차!Print_Area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bok</dc:creator>
  <cp:lastModifiedBy>정영호</cp:lastModifiedBy>
  <cp:lastPrinted>2024-04-19T01:45:36Z</cp:lastPrinted>
  <dcterms:created xsi:type="dcterms:W3CDTF">2018-12-27T02:35:30Z</dcterms:created>
  <dcterms:modified xsi:type="dcterms:W3CDTF">2024-04-25T06:17:30Z</dcterms:modified>
</cp:coreProperties>
</file>